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4.　保險相關\保險\健、勞保、勞退\專案計畫人員保費查詢系統\專案計畫人員保費查詢系統_v9_匯入資料格式修正版\專案計畫人員保費查詢系統_v6_修正doc錯誤與多承辦人\"/>
    </mc:Choice>
  </mc:AlternateContent>
  <xr:revisionPtr revIDLastSave="0" documentId="8_{7C58C48A-07A5-4429-B904-38C4FE9FA118}" xr6:coauthVersionLast="47" xr6:coauthVersionMax="47" xr10:uidLastSave="{00000000-0000-0000-0000-000000000000}"/>
  <bookViews>
    <workbookView xWindow="3585" yWindow="3585" windowWidth="21600" windowHeight="11295" xr2:uid="{00000000-000D-0000-FFFF-FFFF00000000}"/>
  </bookViews>
  <sheets>
    <sheet name="資料頁" sheetId="1" r:id="rId1"/>
  </sheets>
  <definedNames>
    <definedName name="_xlnm._FilterDatabase" localSheetId="0" hidden="1">資料頁!$A$1:$M$37</definedName>
    <definedName name="全健康保險費" localSheetId="0">資料頁!#REF!</definedName>
    <definedName name="序號" localSheetId="0">資料頁!$A$2:$A$10</definedName>
    <definedName name="投保薪額">資料頁!$F$2:$F$10</definedName>
    <definedName name="姓名" localSheetId="0">資料頁!$C$2:$C$10</definedName>
    <definedName name="保險年月" localSheetId="0">資料頁!$D$2:$D$10</definedName>
    <definedName name="異動" localSheetId="0">資料頁!$H$2:$H$10</definedName>
    <definedName name="備註" localSheetId="0">資料頁!$I$2:$I$10</definedName>
    <definedName name="勞工保險費" localSheetId="0">資料頁!$G$2:$G$10</definedName>
    <definedName name="勞工退休金提繳" localSheetId="0">資料頁!#REF!</definedName>
    <definedName name="單位" localSheetId="0">資料頁!$B$2:$B$10</definedName>
    <definedName name="業務承辦人" localSheetId="0">資料頁!$J$2:$J$10</definedName>
    <definedName name="資料" localSheetId="0">資料頁!$A$1:$J$10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7" i="1" l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<sst xmlns="http://schemas.openxmlformats.org/spreadsheetml/2006/main" count="253" uniqueCount="47">
  <si>
    <t>姓名</t>
    <phoneticPr fontId="2" type="noConversion"/>
  </si>
  <si>
    <t>備註</t>
    <phoneticPr fontId="2" type="noConversion"/>
  </si>
  <si>
    <t>序號</t>
    <phoneticPr fontId="3" type="noConversion"/>
  </si>
  <si>
    <t>計畫名稱</t>
    <phoneticPr fontId="2" type="noConversion"/>
  </si>
  <si>
    <t>教育部_補助大專校院招收及輔導身心障礙學生輔導工作計畫</t>
  </si>
  <si>
    <t>教育部_大專校院聘用專兼任專業輔導人力計畫</t>
  </si>
  <si>
    <t>教育部_技專校院高等教育深耕計畫</t>
  </si>
  <si>
    <t>異動</t>
    <phoneticPr fontId="3" type="noConversion"/>
  </si>
  <si>
    <t>單位</t>
    <phoneticPr fontId="3" type="noConversion"/>
  </si>
  <si>
    <t>保險年月</t>
    <phoneticPr fontId="2" type="noConversion"/>
  </si>
  <si>
    <t>投保薪額</t>
    <phoneticPr fontId="2" type="noConversion"/>
  </si>
  <si>
    <t>業務承辦人姓名</t>
    <phoneticPr fontId="2" type="noConversion"/>
  </si>
  <si>
    <t>業務承辦人證號</t>
    <phoneticPr fontId="2" type="noConversion"/>
  </si>
  <si>
    <t>薪調</t>
  </si>
  <si>
    <t>學生輔導中心</t>
  </si>
  <si>
    <t>教學發展中心</t>
    <phoneticPr fontId="3" type="noConversion"/>
  </si>
  <si>
    <t>秘書室</t>
    <phoneticPr fontId="3" type="noConversion"/>
  </si>
  <si>
    <t>學生輔導中心(資源教室)</t>
    <phoneticPr fontId="2" type="noConversion"/>
  </si>
  <si>
    <t>保險項目</t>
    <phoneticPr fontId="2" type="noConversion"/>
  </si>
  <si>
    <t>勞工保險費</t>
  </si>
  <si>
    <t>勞工退休金提繳</t>
  </si>
  <si>
    <t>全民健康保險費</t>
  </si>
  <si>
    <t>預算編號</t>
    <phoneticPr fontId="2" type="noConversion"/>
  </si>
  <si>
    <t>270-115A001-01</t>
    <phoneticPr fontId="2" type="noConversion"/>
  </si>
  <si>
    <t>220-115A001-03</t>
    <phoneticPr fontId="2" type="noConversion"/>
  </si>
  <si>
    <t>123-115A003-03</t>
    <phoneticPr fontId="2" type="noConversion"/>
  </si>
  <si>
    <t>270-115A001-02</t>
    <phoneticPr fontId="2" type="noConversion"/>
  </si>
  <si>
    <t>220-115A001-07</t>
    <phoneticPr fontId="2" type="noConversion"/>
  </si>
  <si>
    <t>123-115A003-05</t>
    <phoneticPr fontId="2" type="noConversion"/>
  </si>
  <si>
    <t>123-115A003-03(補)</t>
    <phoneticPr fontId="2" type="noConversion"/>
  </si>
  <si>
    <t>270-115A001-04</t>
    <phoneticPr fontId="2" type="noConversion"/>
  </si>
  <si>
    <t>123-115A003-06</t>
    <phoneticPr fontId="2" type="noConversion"/>
  </si>
  <si>
    <t>123-115A003-07(補)</t>
    <phoneticPr fontId="2" type="noConversion"/>
  </si>
  <si>
    <t>林小花</t>
    <phoneticPr fontId="2" type="noConversion"/>
  </si>
  <si>
    <t>王小明</t>
    <phoneticPr fontId="2" type="noConversion"/>
  </si>
  <si>
    <t>陳阿華</t>
    <phoneticPr fontId="2" type="noConversion"/>
  </si>
  <si>
    <t>林小小</t>
    <phoneticPr fontId="2" type="noConversion"/>
  </si>
  <si>
    <t>王明明</t>
    <phoneticPr fontId="2" type="noConversion"/>
  </si>
  <si>
    <t>黃一</t>
    <phoneticPr fontId="2" type="noConversion"/>
  </si>
  <si>
    <t>黃二</t>
    <phoneticPr fontId="2" type="noConversion"/>
  </si>
  <si>
    <t>黃三</t>
    <phoneticPr fontId="2" type="noConversion"/>
  </si>
  <si>
    <t>黃四</t>
    <phoneticPr fontId="2" type="noConversion"/>
  </si>
  <si>
    <t>林一</t>
    <phoneticPr fontId="2" type="noConversion"/>
  </si>
  <si>
    <t>林二</t>
    <phoneticPr fontId="2" type="noConversion"/>
  </si>
  <si>
    <t>林三</t>
    <phoneticPr fontId="2" type="noConversion"/>
  </si>
  <si>
    <t>教育部_技專校院高等教育深耕計畫</t>
    <phoneticPr fontId="2" type="noConversion"/>
  </si>
  <si>
    <t>雇主負擔保費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</si>
</sst>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12" x14ac:knownFonts="1">
    <font>
      <sz val="12"/>
      <color theme="1"/>
      <name val="新細明體"/>
      <family val="2"/>
      <charset val="136"/>
      <scheme val="minor"/>
    </font>
    <font>
      <sz val="10"/>
      <color theme="1"/>
      <name val="Microsoft YaHei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sz val="12"/>
      <name val="細明體"/>
      <family val="2"/>
      <charset val="136"/>
    </font>
    <font>
      <sz val="12"/>
      <name val="Microsoft YaHei"/>
      <family val="2"/>
      <charset val="134"/>
    </font>
    <font>
      <b/>
      <sz val="12"/>
      <color theme="0"/>
      <name val="Microsoft YaHei"/>
      <family val="2"/>
      <charset val="134"/>
    </font>
    <font>
      <sz val="12"/>
      <color theme="0"/>
      <name val="Microsoft YaHei"/>
      <family val="2"/>
      <charset val="134"/>
    </font>
    <font>
      <sz val="12"/>
      <name val="新細明體"/>
      <family val="2"/>
      <charset val="136"/>
      <scheme val="minor"/>
    </font>
    <font>
      <b/>
      <sz val="12"/>
      <color theme="0"/>
      <name val="細明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rgb="FF0000CC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5" fillId="0" borderId="0"/>
    <xf numFmtId="0" fontId="1" fillId="0" borderId="0">
      <alignment vertical="center"/>
    </xf>
  </cellStyleXfs>
  <cellXfs count="16">
    <xf numFmtId="0" fontId="0" fillId="0" borderId="0" xfId="0">
      <alignment vertical="center"/>
    </xf>
    <xf numFmtId="0" fontId="7" fillId="0" borderId="0" xfId="0" applyFont="1" applyAlignment="1">
      <alignment horizontal="left" vertical="center"/>
    </xf>
    <xf numFmtId="0" fontId="7" fillId="0" borderId="0" xfId="5" applyFont="1" applyAlignment="1">
      <alignment horizontal="left" vertical="center" shrinkToFit="1"/>
    </xf>
    <xf numFmtId="0" fontId="7" fillId="0" borderId="0" xfId="5" applyFont="1" applyAlignment="1">
      <alignment horizontal="left" vertical="center"/>
    </xf>
    <xf numFmtId="176" fontId="7" fillId="0" borderId="0" xfId="5" applyNumberFormat="1" applyFont="1" applyAlignment="1">
      <alignment horizontal="right" vertical="center"/>
    </xf>
    <xf numFmtId="3" fontId="7" fillId="0" borderId="0" xfId="5" applyNumberFormat="1" applyFont="1">
      <alignment vertical="center"/>
    </xf>
    <xf numFmtId="0" fontId="7" fillId="0" borderId="0" xfId="0" quotePrefix="1" applyFont="1" applyAlignment="1">
      <alignment horizontal="center" vertical="center"/>
    </xf>
    <xf numFmtId="0" fontId="7" fillId="0" borderId="0" xfId="5" applyFont="1">
      <alignment vertical="center"/>
    </xf>
    <xf numFmtId="0" fontId="7" fillId="0" borderId="0" xfId="0" applyFont="1" applyAlignment="1">
      <alignment horizontal="center" vertical="center"/>
    </xf>
    <xf numFmtId="0" fontId="8" fillId="2" borderId="0" xfId="0" applyFont="1" applyFill="1" applyAlignment="1" applyProtection="1">
      <alignment horizontal="left" vertical="center" wrapText="1"/>
      <protection hidden="1"/>
    </xf>
    <xf numFmtId="0" fontId="8" fillId="2" borderId="0" xfId="0" applyFont="1" applyFill="1" applyAlignment="1" applyProtection="1">
      <alignment horizontal="center" vertical="center" wrapText="1"/>
      <protection hidden="1"/>
    </xf>
    <xf numFmtId="0" fontId="9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10" fillId="0" borderId="0" xfId="0" applyFont="1">
      <alignment vertical="center"/>
    </xf>
    <xf numFmtId="0" fontId="6" fillId="0" borderId="0" xfId="0" applyFont="1" applyAlignment="1">
      <alignment horizontal="left" vertical="center"/>
    </xf>
    <xf numFmtId="0" fontId="11" fillId="2" borderId="0" xfId="0" applyFont="1" applyFill="1" applyAlignment="1" applyProtection="1">
      <alignment horizontal="center" vertical="center" wrapText="1"/>
      <protection hidden="1"/>
    </xf>
  </cellXfs>
  <cellStyles count="6">
    <cellStyle name="一般" xfId="0" builtinId="0"/>
    <cellStyle name="一般 12" xfId="2" xr:uid="{00000000-0005-0000-0000-000001000000}"/>
    <cellStyle name="一般 2" xfId="1" xr:uid="{00000000-0005-0000-0000-000002000000}"/>
    <cellStyle name="一般 3" xfId="3" xr:uid="{00000000-0005-0000-0000-000003000000}"/>
    <cellStyle name="一般 4" xfId="4" xr:uid="{00000000-0005-0000-0000-000004000000}"/>
    <cellStyle name="一般 5" xfId="5" xr:uid="{A7BD463C-EA14-49ED-983D-9E0D0FDBD4DD}"/>
  </cellStyles>
  <dxfs count="0"/>
  <tableStyles count="0" defaultTableStyle="TableStyleMedium2" defaultPivotStyle="PivotStyleLight16"/>
  <colors>
    <mruColors>
      <color rgb="FF0000FF"/>
      <color rgb="FF0000CC"/>
      <color rgb="FFFFFF99"/>
      <color rgb="FFF3FFFF"/>
      <color rgb="FFFFF7FF"/>
      <color rgb="FFE5FFFF"/>
      <color rgb="FFFFF3FF"/>
      <color rgb="FFFFE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2" filterMode="1">
    <tabColor rgb="FF00B050"/>
  </sheetPr>
  <dimension ref="A1:M37"/>
  <sheetViews>
    <sheetView tabSelected="1" zoomScale="85" zoomScaleNormal="85" workbookViewId="0">
      <pane xSplit="3" ySplit="1" topLeftCell="G2" activePane="bottomRight" state="frozen"/>
      <selection pane="topRight" activeCell="E1" sqref="E1"/>
      <selection pane="bottomLeft" activeCell="A2" sqref="A2"/>
      <selection pane="bottomRight" activeCell="I37" sqref="I37"/>
    </sheetView>
  </sheetViews>
  <sheetFormatPr defaultColWidth="9" defaultRowHeight="17.25" customHeight="1" x14ac:dyDescent="0.25"/>
  <cols>
    <col min="1" max="1" width="10.375" style="1" bestFit="1" customWidth="1"/>
    <col min="2" max="2" width="25.375" style="1" bestFit="1" customWidth="1"/>
    <col min="3" max="3" width="10" style="8" bestFit="1" customWidth="1"/>
    <col min="4" max="4" width="14.25" style="8" bestFit="1" customWidth="1"/>
    <col min="5" max="5" width="18.75" style="8" customWidth="1"/>
    <col min="6" max="6" width="14.25" style="8" bestFit="1" customWidth="1"/>
    <col min="7" max="7" width="16.625" style="8" bestFit="1" customWidth="1"/>
    <col min="8" max="8" width="12.75" style="8" bestFit="1" customWidth="1"/>
    <col min="9" max="9" width="15.75" style="1" customWidth="1"/>
    <col min="10" max="10" width="17.875" style="1" bestFit="1" customWidth="1"/>
    <col min="11" max="11" width="17.875" style="1" customWidth="1"/>
    <col min="12" max="12" width="59.5" style="1" bestFit="1" customWidth="1"/>
    <col min="13" max="13" width="22.375" style="1" customWidth="1"/>
    <col min="14" max="14" width="10.5" style="1" customWidth="1"/>
    <col min="15" max="18" width="9" style="1" customWidth="1"/>
    <col min="19" max="19" width="17.75" style="1" customWidth="1"/>
    <col min="20" max="23" width="9" style="1" customWidth="1"/>
    <col min="24" max="24" width="16.375" style="1" customWidth="1"/>
    <col min="25" max="53" width="9" style="1" customWidth="1"/>
    <col min="54" max="16384" width="9" style="1"/>
  </cols>
  <sheetData>
    <row r="1" spans="1:13" s="11" customFormat="1" ht="39" customHeight="1" x14ac:dyDescent="0.25">
      <c r="A1" s="9" t="s">
        <v>2</v>
      </c>
      <c r="B1" s="9" t="s">
        <v>8</v>
      </c>
      <c r="C1" s="10" t="s">
        <v>0</v>
      </c>
      <c r="D1" s="10" t="s">
        <v>9</v>
      </c>
      <c r="E1" s="15" t="s">
        <v>18</v>
      </c>
      <c r="F1" s="10" t="s">
        <v>10</v>
      </c>
      <c r="G1" s="15" t="s">
        <v>46</v>
      </c>
      <c r="H1" s="10" t="s">
        <v>7</v>
      </c>
      <c r="I1" s="10" t="s">
        <v>1</v>
      </c>
      <c r="J1" s="10" t="s">
        <v>12</v>
      </c>
      <c r="K1" s="10" t="s">
        <v>11</v>
      </c>
      <c r="L1" s="10" t="s">
        <v>3</v>
      </c>
      <c r="M1" s="10" t="s">
        <v>22</v>
      </c>
    </row>
    <row r="2" spans="1:13" ht="17.25" hidden="1" customHeight="1" x14ac:dyDescent="0.25">
      <c r="A2" s="1">
        <f>ROW()-1</f>
        <v>1</v>
      </c>
      <c r="B2" s="2" t="s">
        <v>17</v>
      </c>
      <c r="C2" s="1" t="s">
        <v>33</v>
      </c>
      <c r="D2" s="3">
        <v>11501</v>
      </c>
      <c r="E2" s="3" t="s">
        <v>19</v>
      </c>
      <c r="F2" s="4">
        <v>53000</v>
      </c>
      <c r="G2" s="5">
        <v>4072</v>
      </c>
      <c r="H2" s="6" t="s">
        <v>13</v>
      </c>
      <c r="I2" s="6"/>
      <c r="J2" s="13">
        <v>4040</v>
      </c>
      <c r="K2" s="1" t="s">
        <v>33</v>
      </c>
      <c r="L2" s="7" t="s">
        <v>4</v>
      </c>
      <c r="M2" s="14" t="s">
        <v>23</v>
      </c>
    </row>
    <row r="3" spans="1:13" ht="17.25" hidden="1" customHeight="1" x14ac:dyDescent="0.25">
      <c r="A3" s="1">
        <f t="shared" ref="A3:A13" si="0">ROW()-1</f>
        <v>2</v>
      </c>
      <c r="B3" s="2" t="s">
        <v>17</v>
      </c>
      <c r="C3" s="1" t="s">
        <v>34</v>
      </c>
      <c r="D3" s="3">
        <v>11501</v>
      </c>
      <c r="E3" s="3" t="s">
        <v>19</v>
      </c>
      <c r="F3" s="4">
        <v>45800</v>
      </c>
      <c r="G3" s="5">
        <v>4063</v>
      </c>
      <c r="H3" s="6" t="s">
        <v>13</v>
      </c>
      <c r="I3" s="6"/>
      <c r="J3" s="13">
        <v>4040</v>
      </c>
      <c r="K3" s="1" t="s">
        <v>33</v>
      </c>
      <c r="L3" s="7" t="s">
        <v>4</v>
      </c>
      <c r="M3" s="14" t="s">
        <v>23</v>
      </c>
    </row>
    <row r="4" spans="1:13" ht="17.25" hidden="1" customHeight="1" x14ac:dyDescent="0.25">
      <c r="A4" s="1">
        <f t="shared" si="0"/>
        <v>3</v>
      </c>
      <c r="B4" s="2" t="s">
        <v>17</v>
      </c>
      <c r="C4" s="14" t="s">
        <v>35</v>
      </c>
      <c r="D4" s="3">
        <v>11501</v>
      </c>
      <c r="E4" s="3" t="s">
        <v>19</v>
      </c>
      <c r="F4" s="4">
        <v>42000</v>
      </c>
      <c r="G4" s="5">
        <v>3725</v>
      </c>
      <c r="I4" s="6"/>
      <c r="J4" s="13">
        <v>4040</v>
      </c>
      <c r="K4" s="1" t="s">
        <v>33</v>
      </c>
      <c r="L4" s="7" t="s">
        <v>4</v>
      </c>
      <c r="M4" s="14" t="s">
        <v>23</v>
      </c>
    </row>
    <row r="5" spans="1:13" ht="17.25" hidden="1" customHeight="1" x14ac:dyDescent="0.25">
      <c r="A5" s="1">
        <f t="shared" si="0"/>
        <v>4</v>
      </c>
      <c r="B5" s="2" t="s">
        <v>17</v>
      </c>
      <c r="C5" s="14" t="s">
        <v>36</v>
      </c>
      <c r="D5" s="3">
        <v>11501</v>
      </c>
      <c r="E5" s="3" t="s">
        <v>19</v>
      </c>
      <c r="F5" s="4">
        <v>45800</v>
      </c>
      <c r="G5" s="5">
        <v>4063</v>
      </c>
      <c r="H5" s="6" t="s">
        <v>13</v>
      </c>
      <c r="I5" s="6"/>
      <c r="J5" s="13">
        <v>4040</v>
      </c>
      <c r="K5" s="1" t="s">
        <v>33</v>
      </c>
      <c r="L5" s="1" t="s">
        <v>4</v>
      </c>
      <c r="M5" s="14" t="s">
        <v>23</v>
      </c>
    </row>
    <row r="6" spans="1:13" ht="17.25" hidden="1" customHeight="1" x14ac:dyDescent="0.25">
      <c r="A6" s="1">
        <f t="shared" si="0"/>
        <v>5</v>
      </c>
      <c r="B6" s="2" t="s">
        <v>17</v>
      </c>
      <c r="C6" s="1" t="s">
        <v>37</v>
      </c>
      <c r="D6" s="3">
        <v>11501</v>
      </c>
      <c r="E6" s="3" t="s">
        <v>19</v>
      </c>
      <c r="F6" s="4">
        <v>43900</v>
      </c>
      <c r="G6" s="5">
        <v>3894</v>
      </c>
      <c r="H6" s="6" t="s">
        <v>13</v>
      </c>
      <c r="I6" s="6"/>
      <c r="J6" s="13">
        <v>4040</v>
      </c>
      <c r="K6" s="1" t="s">
        <v>33</v>
      </c>
      <c r="L6" s="1" t="s">
        <v>4</v>
      </c>
      <c r="M6" s="14" t="s">
        <v>23</v>
      </c>
    </row>
    <row r="7" spans="1:13" ht="17.25" hidden="1" customHeight="1" x14ac:dyDescent="0.25">
      <c r="A7" s="1">
        <f t="shared" si="0"/>
        <v>6</v>
      </c>
      <c r="B7" s="2" t="s">
        <v>14</v>
      </c>
      <c r="C7" s="14" t="s">
        <v>38</v>
      </c>
      <c r="D7" s="3">
        <v>11501</v>
      </c>
      <c r="E7" s="3" t="s">
        <v>19</v>
      </c>
      <c r="F7" s="4">
        <v>53000</v>
      </c>
      <c r="G7" s="5">
        <v>4072</v>
      </c>
      <c r="H7" s="6" t="s">
        <v>13</v>
      </c>
      <c r="I7" s="6"/>
      <c r="J7" s="13">
        <v>6262</v>
      </c>
      <c r="K7" s="14" t="s">
        <v>38</v>
      </c>
      <c r="L7" s="7" t="s">
        <v>5</v>
      </c>
      <c r="M7" s="14" t="s">
        <v>24</v>
      </c>
    </row>
    <row r="8" spans="1:13" ht="17.25" hidden="1" customHeight="1" x14ac:dyDescent="0.25">
      <c r="A8" s="1">
        <f t="shared" si="0"/>
        <v>7</v>
      </c>
      <c r="B8" s="2" t="s">
        <v>14</v>
      </c>
      <c r="C8" s="14" t="s">
        <v>39</v>
      </c>
      <c r="D8" s="3">
        <v>11501</v>
      </c>
      <c r="E8" s="3" t="s">
        <v>19</v>
      </c>
      <c r="F8" s="4">
        <v>50600</v>
      </c>
      <c r="G8" s="5">
        <v>4069</v>
      </c>
      <c r="H8" s="6"/>
      <c r="I8" s="6"/>
      <c r="J8" s="13">
        <v>6262</v>
      </c>
      <c r="K8" s="14" t="s">
        <v>38</v>
      </c>
      <c r="L8" s="7" t="s">
        <v>5</v>
      </c>
      <c r="M8" s="14" t="s">
        <v>24</v>
      </c>
    </row>
    <row r="9" spans="1:13" ht="17.25" hidden="1" customHeight="1" x14ac:dyDescent="0.25">
      <c r="A9" s="1">
        <f t="shared" si="0"/>
        <v>8</v>
      </c>
      <c r="B9" s="2" t="s">
        <v>14</v>
      </c>
      <c r="C9" s="14" t="s">
        <v>40</v>
      </c>
      <c r="D9" s="3">
        <v>11501</v>
      </c>
      <c r="E9" s="3" t="s">
        <v>19</v>
      </c>
      <c r="F9" s="4">
        <v>48200</v>
      </c>
      <c r="G9" s="5">
        <v>4066</v>
      </c>
      <c r="I9" s="6"/>
      <c r="J9" s="13">
        <v>6262</v>
      </c>
      <c r="K9" s="14" t="s">
        <v>38</v>
      </c>
      <c r="L9" s="7" t="s">
        <v>5</v>
      </c>
      <c r="M9" s="14" t="s">
        <v>24</v>
      </c>
    </row>
    <row r="10" spans="1:13" ht="17.25" customHeight="1" x14ac:dyDescent="0.25">
      <c r="A10" s="1">
        <f t="shared" si="0"/>
        <v>9</v>
      </c>
      <c r="B10" s="2" t="s">
        <v>15</v>
      </c>
      <c r="C10" s="14" t="s">
        <v>41</v>
      </c>
      <c r="D10" s="3">
        <v>11501</v>
      </c>
      <c r="E10" s="3" t="s">
        <v>19</v>
      </c>
      <c r="F10" s="4">
        <v>38200</v>
      </c>
      <c r="G10" s="5">
        <v>3388</v>
      </c>
      <c r="H10" s="6" t="s">
        <v>13</v>
      </c>
      <c r="I10" s="6"/>
      <c r="J10" s="13">
        <v>6919</v>
      </c>
      <c r="K10" s="12" t="s">
        <v>42</v>
      </c>
      <c r="L10" s="7" t="s">
        <v>45</v>
      </c>
      <c r="M10" s="14" t="s">
        <v>25</v>
      </c>
    </row>
    <row r="11" spans="1:13" ht="17.25" customHeight="1" x14ac:dyDescent="0.25">
      <c r="A11" s="1">
        <f t="shared" si="0"/>
        <v>10</v>
      </c>
      <c r="B11" s="2" t="s">
        <v>15</v>
      </c>
      <c r="C11" s="12" t="s">
        <v>42</v>
      </c>
      <c r="D11" s="3">
        <v>11501</v>
      </c>
      <c r="E11" s="3" t="s">
        <v>19</v>
      </c>
      <c r="F11" s="8">
        <v>45800</v>
      </c>
      <c r="G11" s="8">
        <v>4063</v>
      </c>
      <c r="H11" s="8" t="s">
        <v>13</v>
      </c>
      <c r="J11" s="13">
        <v>6919</v>
      </c>
      <c r="K11" s="12" t="s">
        <v>42</v>
      </c>
      <c r="L11" s="1" t="s">
        <v>6</v>
      </c>
      <c r="M11" s="14" t="s">
        <v>25</v>
      </c>
    </row>
    <row r="12" spans="1:13" ht="17.25" customHeight="1" x14ac:dyDescent="0.25">
      <c r="A12" s="1">
        <f t="shared" si="0"/>
        <v>11</v>
      </c>
      <c r="B12" s="2" t="s">
        <v>15</v>
      </c>
      <c r="C12" s="12" t="s">
        <v>43</v>
      </c>
      <c r="D12" s="3">
        <v>11501</v>
      </c>
      <c r="E12" s="3" t="s">
        <v>19</v>
      </c>
      <c r="F12" s="8">
        <v>42000</v>
      </c>
      <c r="G12" s="8">
        <v>3725</v>
      </c>
      <c r="H12" s="8" t="s">
        <v>13</v>
      </c>
      <c r="J12" s="13">
        <v>6919</v>
      </c>
      <c r="K12" s="12" t="s">
        <v>42</v>
      </c>
      <c r="L12" s="1" t="s">
        <v>6</v>
      </c>
      <c r="M12" s="14" t="s">
        <v>25</v>
      </c>
    </row>
    <row r="13" spans="1:13" ht="17.25" customHeight="1" x14ac:dyDescent="0.25">
      <c r="A13" s="1">
        <f t="shared" si="0"/>
        <v>12</v>
      </c>
      <c r="B13" s="2" t="s">
        <v>16</v>
      </c>
      <c r="C13" s="8" t="s">
        <v>44</v>
      </c>
      <c r="D13" s="3">
        <v>11501</v>
      </c>
      <c r="E13" s="3" t="s">
        <v>19</v>
      </c>
      <c r="F13" s="8">
        <v>66800</v>
      </c>
      <c r="G13" s="8">
        <v>4088</v>
      </c>
      <c r="J13" s="13">
        <v>6919</v>
      </c>
      <c r="K13" s="12" t="s">
        <v>42</v>
      </c>
      <c r="L13" s="1" t="s">
        <v>6</v>
      </c>
      <c r="M13" s="14" t="s">
        <v>25</v>
      </c>
    </row>
    <row r="14" spans="1:13" ht="17.25" hidden="1" customHeight="1" x14ac:dyDescent="0.25">
      <c r="A14" s="1">
        <f>ROW()-1</f>
        <v>13</v>
      </c>
      <c r="B14" s="2" t="s">
        <v>17</v>
      </c>
      <c r="C14" s="1" t="s">
        <v>33</v>
      </c>
      <c r="D14" s="3">
        <v>11501</v>
      </c>
      <c r="E14" s="3" t="s">
        <v>20</v>
      </c>
      <c r="F14" s="4">
        <v>53000</v>
      </c>
      <c r="G14" s="4">
        <v>3180</v>
      </c>
      <c r="H14" s="6" t="s">
        <v>13</v>
      </c>
      <c r="I14" s="6"/>
      <c r="J14" s="13">
        <v>4040</v>
      </c>
      <c r="K14" s="1" t="s">
        <v>33</v>
      </c>
      <c r="L14" s="7" t="s">
        <v>4</v>
      </c>
      <c r="M14" s="14" t="s">
        <v>26</v>
      </c>
    </row>
    <row r="15" spans="1:13" ht="17.25" hidden="1" customHeight="1" x14ac:dyDescent="0.25">
      <c r="A15" s="1">
        <f t="shared" ref="A15:A25" si="1">ROW()-1</f>
        <v>14</v>
      </c>
      <c r="B15" s="2" t="s">
        <v>17</v>
      </c>
      <c r="C15" s="1" t="s">
        <v>34</v>
      </c>
      <c r="D15" s="3">
        <v>11501</v>
      </c>
      <c r="E15" s="3" t="s">
        <v>20</v>
      </c>
      <c r="F15" s="4">
        <v>45800</v>
      </c>
      <c r="G15" s="4">
        <v>2748</v>
      </c>
      <c r="H15" s="6" t="s">
        <v>13</v>
      </c>
      <c r="I15" s="6"/>
      <c r="J15" s="13">
        <v>4040</v>
      </c>
      <c r="K15" s="1" t="s">
        <v>33</v>
      </c>
      <c r="L15" s="7" t="s">
        <v>4</v>
      </c>
      <c r="M15" s="14" t="s">
        <v>26</v>
      </c>
    </row>
    <row r="16" spans="1:13" ht="17.25" hidden="1" customHeight="1" x14ac:dyDescent="0.25">
      <c r="A16" s="1">
        <f t="shared" si="1"/>
        <v>15</v>
      </c>
      <c r="B16" s="2" t="s">
        <v>17</v>
      </c>
      <c r="C16" s="14" t="s">
        <v>35</v>
      </c>
      <c r="D16" s="3">
        <v>11501</v>
      </c>
      <c r="E16" s="3" t="s">
        <v>20</v>
      </c>
      <c r="F16" s="4">
        <v>42000</v>
      </c>
      <c r="G16" s="4">
        <v>2520</v>
      </c>
      <c r="I16" s="6"/>
      <c r="J16" s="13">
        <v>4040</v>
      </c>
      <c r="K16" s="1" t="s">
        <v>33</v>
      </c>
      <c r="L16" s="7" t="s">
        <v>4</v>
      </c>
      <c r="M16" s="14" t="s">
        <v>26</v>
      </c>
    </row>
    <row r="17" spans="1:13" ht="17.25" hidden="1" customHeight="1" x14ac:dyDescent="0.25">
      <c r="A17" s="1">
        <f t="shared" si="1"/>
        <v>16</v>
      </c>
      <c r="B17" s="2" t="s">
        <v>17</v>
      </c>
      <c r="C17" s="14" t="s">
        <v>36</v>
      </c>
      <c r="D17" s="3">
        <v>11501</v>
      </c>
      <c r="E17" s="3" t="s">
        <v>20</v>
      </c>
      <c r="F17" s="4">
        <v>45800</v>
      </c>
      <c r="G17" s="4">
        <v>2748</v>
      </c>
      <c r="H17" s="6" t="s">
        <v>13</v>
      </c>
      <c r="I17" s="6"/>
      <c r="J17" s="13">
        <v>4040</v>
      </c>
      <c r="K17" s="1" t="s">
        <v>33</v>
      </c>
      <c r="L17" s="1" t="s">
        <v>4</v>
      </c>
      <c r="M17" s="14" t="s">
        <v>26</v>
      </c>
    </row>
    <row r="18" spans="1:13" ht="17.25" hidden="1" customHeight="1" x14ac:dyDescent="0.25">
      <c r="A18" s="1">
        <f t="shared" si="1"/>
        <v>17</v>
      </c>
      <c r="B18" s="2" t="s">
        <v>17</v>
      </c>
      <c r="C18" s="1" t="s">
        <v>37</v>
      </c>
      <c r="D18" s="3">
        <v>11501</v>
      </c>
      <c r="E18" s="3" t="s">
        <v>20</v>
      </c>
      <c r="F18" s="4">
        <v>43900</v>
      </c>
      <c r="G18" s="4">
        <v>2634</v>
      </c>
      <c r="H18" s="6" t="s">
        <v>13</v>
      </c>
      <c r="I18" s="6"/>
      <c r="J18" s="13">
        <v>4040</v>
      </c>
      <c r="K18" s="1" t="s">
        <v>33</v>
      </c>
      <c r="L18" s="1" t="s">
        <v>4</v>
      </c>
      <c r="M18" s="14" t="s">
        <v>26</v>
      </c>
    </row>
    <row r="19" spans="1:13" ht="17.25" hidden="1" customHeight="1" x14ac:dyDescent="0.25">
      <c r="A19" s="1">
        <f t="shared" si="1"/>
        <v>18</v>
      </c>
      <c r="B19" s="2" t="s">
        <v>14</v>
      </c>
      <c r="C19" s="14" t="s">
        <v>38</v>
      </c>
      <c r="D19" s="3">
        <v>11501</v>
      </c>
      <c r="E19" s="3" t="s">
        <v>20</v>
      </c>
      <c r="F19" s="4">
        <v>53000</v>
      </c>
      <c r="G19" s="4">
        <v>3180</v>
      </c>
      <c r="H19" s="6" t="s">
        <v>13</v>
      </c>
      <c r="I19" s="6"/>
      <c r="J19" s="13">
        <v>6262</v>
      </c>
      <c r="K19" s="14" t="s">
        <v>38</v>
      </c>
      <c r="L19" s="7" t="s">
        <v>5</v>
      </c>
      <c r="M19" s="14" t="s">
        <v>27</v>
      </c>
    </row>
    <row r="20" spans="1:13" ht="17.25" hidden="1" customHeight="1" x14ac:dyDescent="0.25">
      <c r="A20" s="1">
        <f t="shared" si="1"/>
        <v>19</v>
      </c>
      <c r="B20" s="2" t="s">
        <v>14</v>
      </c>
      <c r="C20" s="14" t="s">
        <v>39</v>
      </c>
      <c r="D20" s="3">
        <v>11501</v>
      </c>
      <c r="E20" s="3" t="s">
        <v>20</v>
      </c>
      <c r="F20" s="4">
        <v>50600</v>
      </c>
      <c r="G20" s="4">
        <v>3036</v>
      </c>
      <c r="H20" s="6"/>
      <c r="I20" s="6"/>
      <c r="J20" s="13">
        <v>6262</v>
      </c>
      <c r="K20" s="14" t="s">
        <v>38</v>
      </c>
      <c r="L20" s="7" t="s">
        <v>5</v>
      </c>
      <c r="M20" s="14" t="s">
        <v>27</v>
      </c>
    </row>
    <row r="21" spans="1:13" ht="17.25" hidden="1" customHeight="1" x14ac:dyDescent="0.25">
      <c r="A21" s="1">
        <f t="shared" si="1"/>
        <v>20</v>
      </c>
      <c r="B21" s="2" t="s">
        <v>14</v>
      </c>
      <c r="C21" s="14" t="s">
        <v>40</v>
      </c>
      <c r="D21" s="3">
        <v>11501</v>
      </c>
      <c r="E21" s="3" t="s">
        <v>20</v>
      </c>
      <c r="F21" s="4">
        <v>48200</v>
      </c>
      <c r="G21" s="4">
        <v>2892</v>
      </c>
      <c r="I21" s="6"/>
      <c r="J21" s="13">
        <v>6262</v>
      </c>
      <c r="K21" s="14" t="s">
        <v>38</v>
      </c>
      <c r="L21" s="7" t="s">
        <v>5</v>
      </c>
      <c r="M21" s="14" t="s">
        <v>27</v>
      </c>
    </row>
    <row r="22" spans="1:13" ht="17.25" customHeight="1" x14ac:dyDescent="0.25">
      <c r="A22" s="1">
        <f t="shared" si="1"/>
        <v>21</v>
      </c>
      <c r="B22" s="2" t="s">
        <v>15</v>
      </c>
      <c r="C22" s="14" t="s">
        <v>41</v>
      </c>
      <c r="D22" s="3">
        <v>11501</v>
      </c>
      <c r="E22" s="3" t="s">
        <v>20</v>
      </c>
      <c r="F22" s="4">
        <v>38200</v>
      </c>
      <c r="G22" s="4">
        <v>2292</v>
      </c>
      <c r="H22" s="6" t="s">
        <v>13</v>
      </c>
      <c r="I22" s="6"/>
      <c r="J22" s="13">
        <v>6919</v>
      </c>
      <c r="K22" s="12" t="s">
        <v>42</v>
      </c>
      <c r="L22" s="7" t="s">
        <v>6</v>
      </c>
      <c r="M22" s="14" t="s">
        <v>28</v>
      </c>
    </row>
    <row r="23" spans="1:13" ht="17.25" customHeight="1" x14ac:dyDescent="0.25">
      <c r="A23" s="1">
        <f t="shared" si="1"/>
        <v>22</v>
      </c>
      <c r="B23" s="2" t="s">
        <v>15</v>
      </c>
      <c r="C23" s="12" t="s">
        <v>42</v>
      </c>
      <c r="D23" s="3">
        <v>11501</v>
      </c>
      <c r="E23" s="3" t="s">
        <v>20</v>
      </c>
      <c r="F23" s="8">
        <v>45800</v>
      </c>
      <c r="G23" s="8">
        <v>2748</v>
      </c>
      <c r="H23" s="8" t="s">
        <v>13</v>
      </c>
      <c r="J23" s="13">
        <v>6919</v>
      </c>
      <c r="K23" s="12" t="s">
        <v>42</v>
      </c>
      <c r="L23" s="1" t="s">
        <v>6</v>
      </c>
      <c r="M23" s="14" t="s">
        <v>28</v>
      </c>
    </row>
    <row r="24" spans="1:13" ht="17.25" customHeight="1" x14ac:dyDescent="0.25">
      <c r="A24" s="1">
        <f t="shared" si="1"/>
        <v>23</v>
      </c>
      <c r="B24" s="2" t="s">
        <v>15</v>
      </c>
      <c r="C24" s="12" t="s">
        <v>43</v>
      </c>
      <c r="D24" s="3">
        <v>11501</v>
      </c>
      <c r="E24" s="3" t="s">
        <v>20</v>
      </c>
      <c r="F24" s="8">
        <v>42000</v>
      </c>
      <c r="G24" s="8">
        <v>2520</v>
      </c>
      <c r="H24" s="8" t="s">
        <v>13</v>
      </c>
      <c r="J24" s="13">
        <v>6919</v>
      </c>
      <c r="K24" s="12" t="s">
        <v>42</v>
      </c>
      <c r="L24" s="1" t="s">
        <v>6</v>
      </c>
      <c r="M24" s="14" t="s">
        <v>29</v>
      </c>
    </row>
    <row r="25" spans="1:13" ht="17.25" customHeight="1" x14ac:dyDescent="0.25">
      <c r="A25" s="1">
        <f t="shared" si="1"/>
        <v>24</v>
      </c>
      <c r="B25" s="2" t="s">
        <v>16</v>
      </c>
      <c r="C25" s="8" t="s">
        <v>44</v>
      </c>
      <c r="D25" s="3">
        <v>11501</v>
      </c>
      <c r="E25" s="3" t="s">
        <v>20</v>
      </c>
      <c r="F25" s="8">
        <v>66800</v>
      </c>
      <c r="G25" s="8">
        <v>4008</v>
      </c>
      <c r="J25" s="13">
        <v>6919</v>
      </c>
      <c r="K25" s="12" t="s">
        <v>42</v>
      </c>
      <c r="L25" s="1" t="s">
        <v>6</v>
      </c>
      <c r="M25" s="14" t="s">
        <v>29</v>
      </c>
    </row>
    <row r="26" spans="1:13" ht="17.25" hidden="1" customHeight="1" x14ac:dyDescent="0.25">
      <c r="A26" s="1">
        <f>ROW()-1</f>
        <v>25</v>
      </c>
      <c r="B26" s="2" t="s">
        <v>17</v>
      </c>
      <c r="C26" s="1" t="s">
        <v>33</v>
      </c>
      <c r="D26" s="3">
        <v>11501</v>
      </c>
      <c r="E26" s="3" t="s">
        <v>21</v>
      </c>
      <c r="F26" s="4">
        <v>53000</v>
      </c>
      <c r="G26" s="4">
        <v>2565</v>
      </c>
      <c r="H26" s="6" t="s">
        <v>13</v>
      </c>
      <c r="I26" s="6"/>
      <c r="J26" s="13">
        <v>4040</v>
      </c>
      <c r="K26" s="1" t="s">
        <v>33</v>
      </c>
      <c r="L26" s="7" t="s">
        <v>4</v>
      </c>
      <c r="M26" s="14" t="s">
        <v>30</v>
      </c>
    </row>
    <row r="27" spans="1:13" ht="17.25" hidden="1" customHeight="1" x14ac:dyDescent="0.25">
      <c r="A27" s="1">
        <f t="shared" ref="A27:A37" si="2">ROW()-1</f>
        <v>26</v>
      </c>
      <c r="B27" s="2" t="s">
        <v>17</v>
      </c>
      <c r="C27" s="1" t="s">
        <v>34</v>
      </c>
      <c r="D27" s="3">
        <v>11501</v>
      </c>
      <c r="E27" s="3" t="s">
        <v>21</v>
      </c>
      <c r="F27" s="4">
        <v>45800</v>
      </c>
      <c r="G27" s="4">
        <v>2216</v>
      </c>
      <c r="H27" s="6" t="s">
        <v>13</v>
      </c>
      <c r="I27" s="6"/>
      <c r="J27" s="13">
        <v>4040</v>
      </c>
      <c r="K27" s="1" t="s">
        <v>33</v>
      </c>
      <c r="L27" s="7" t="s">
        <v>4</v>
      </c>
      <c r="M27" s="14" t="s">
        <v>30</v>
      </c>
    </row>
    <row r="28" spans="1:13" ht="17.25" hidden="1" customHeight="1" x14ac:dyDescent="0.25">
      <c r="A28" s="1">
        <f t="shared" si="2"/>
        <v>27</v>
      </c>
      <c r="B28" s="2" t="s">
        <v>17</v>
      </c>
      <c r="C28" s="14" t="s">
        <v>35</v>
      </c>
      <c r="D28" s="3">
        <v>11501</v>
      </c>
      <c r="E28" s="3" t="s">
        <v>21</v>
      </c>
      <c r="F28" s="4">
        <v>42000</v>
      </c>
      <c r="G28" s="4">
        <v>2032</v>
      </c>
      <c r="I28" s="6"/>
      <c r="J28" s="13">
        <v>4040</v>
      </c>
      <c r="K28" s="1" t="s">
        <v>33</v>
      </c>
      <c r="L28" s="7" t="s">
        <v>4</v>
      </c>
      <c r="M28" s="14" t="s">
        <v>30</v>
      </c>
    </row>
    <row r="29" spans="1:13" ht="17.25" hidden="1" customHeight="1" x14ac:dyDescent="0.25">
      <c r="A29" s="1">
        <f t="shared" si="2"/>
        <v>28</v>
      </c>
      <c r="B29" s="2" t="s">
        <v>17</v>
      </c>
      <c r="C29" s="14" t="s">
        <v>36</v>
      </c>
      <c r="D29" s="3">
        <v>11501</v>
      </c>
      <c r="E29" s="3" t="s">
        <v>21</v>
      </c>
      <c r="F29" s="4">
        <v>45800</v>
      </c>
      <c r="G29" s="4">
        <v>2216</v>
      </c>
      <c r="H29" s="6" t="s">
        <v>13</v>
      </c>
      <c r="I29" s="6"/>
      <c r="J29" s="13">
        <v>4040</v>
      </c>
      <c r="K29" s="1" t="s">
        <v>33</v>
      </c>
      <c r="L29" s="1" t="s">
        <v>4</v>
      </c>
      <c r="M29" s="14" t="s">
        <v>30</v>
      </c>
    </row>
    <row r="30" spans="1:13" ht="17.25" hidden="1" customHeight="1" x14ac:dyDescent="0.25">
      <c r="A30" s="1">
        <f t="shared" si="2"/>
        <v>29</v>
      </c>
      <c r="B30" s="2" t="s">
        <v>17</v>
      </c>
      <c r="C30" s="1" t="s">
        <v>37</v>
      </c>
      <c r="D30" s="3">
        <v>11501</v>
      </c>
      <c r="E30" s="3" t="s">
        <v>21</v>
      </c>
      <c r="F30" s="4">
        <v>43900</v>
      </c>
      <c r="G30" s="4">
        <v>2124</v>
      </c>
      <c r="H30" s="6" t="s">
        <v>13</v>
      </c>
      <c r="I30" s="6"/>
      <c r="J30" s="13">
        <v>4040</v>
      </c>
      <c r="K30" s="1" t="s">
        <v>33</v>
      </c>
      <c r="L30" s="1" t="s">
        <v>4</v>
      </c>
      <c r="M30" s="14" t="s">
        <v>30</v>
      </c>
    </row>
    <row r="31" spans="1:13" ht="17.25" hidden="1" customHeight="1" x14ac:dyDescent="0.25">
      <c r="A31" s="1">
        <f t="shared" si="2"/>
        <v>30</v>
      </c>
      <c r="B31" s="2" t="s">
        <v>14</v>
      </c>
      <c r="C31" s="14" t="s">
        <v>38</v>
      </c>
      <c r="D31" s="3">
        <v>11501</v>
      </c>
      <c r="E31" s="3" t="s">
        <v>21</v>
      </c>
      <c r="F31" s="4">
        <v>53000</v>
      </c>
      <c r="G31" s="4">
        <v>2565</v>
      </c>
      <c r="H31" s="6" t="s">
        <v>13</v>
      </c>
      <c r="I31" s="6"/>
      <c r="J31" s="13">
        <v>6262</v>
      </c>
      <c r="K31" s="14" t="s">
        <v>38</v>
      </c>
      <c r="L31" s="7" t="s">
        <v>5</v>
      </c>
      <c r="M31" s="14" t="s">
        <v>24</v>
      </c>
    </row>
    <row r="32" spans="1:13" ht="17.25" hidden="1" customHeight="1" x14ac:dyDescent="0.25">
      <c r="A32" s="1">
        <f t="shared" si="2"/>
        <v>31</v>
      </c>
      <c r="B32" s="2" t="s">
        <v>14</v>
      </c>
      <c r="C32" s="14" t="s">
        <v>39</v>
      </c>
      <c r="D32" s="3">
        <v>11501</v>
      </c>
      <c r="E32" s="3" t="s">
        <v>21</v>
      </c>
      <c r="F32" s="4">
        <v>50600</v>
      </c>
      <c r="G32" s="4">
        <v>2449</v>
      </c>
      <c r="H32" s="6"/>
      <c r="I32" s="6"/>
      <c r="J32" s="13">
        <v>6262</v>
      </c>
      <c r="K32" s="14" t="s">
        <v>38</v>
      </c>
      <c r="L32" s="7" t="s">
        <v>5</v>
      </c>
      <c r="M32" s="14" t="s">
        <v>24</v>
      </c>
    </row>
    <row r="33" spans="1:13" ht="17.25" hidden="1" customHeight="1" x14ac:dyDescent="0.25">
      <c r="A33" s="1">
        <f t="shared" si="2"/>
        <v>32</v>
      </c>
      <c r="B33" s="2" t="s">
        <v>14</v>
      </c>
      <c r="C33" s="14" t="s">
        <v>40</v>
      </c>
      <c r="D33" s="3">
        <v>11501</v>
      </c>
      <c r="E33" s="3" t="s">
        <v>21</v>
      </c>
      <c r="F33" s="4">
        <v>48200</v>
      </c>
      <c r="G33" s="4">
        <v>2332</v>
      </c>
      <c r="I33" s="6"/>
      <c r="J33" s="13">
        <v>6262</v>
      </c>
      <c r="K33" s="14" t="s">
        <v>38</v>
      </c>
      <c r="L33" s="7" t="s">
        <v>5</v>
      </c>
      <c r="M33" s="14" t="s">
        <v>24</v>
      </c>
    </row>
    <row r="34" spans="1:13" ht="17.25" customHeight="1" x14ac:dyDescent="0.25">
      <c r="A34" s="1">
        <f t="shared" si="2"/>
        <v>33</v>
      </c>
      <c r="B34" s="2" t="s">
        <v>15</v>
      </c>
      <c r="C34" s="14" t="s">
        <v>41</v>
      </c>
      <c r="D34" s="3">
        <v>11501</v>
      </c>
      <c r="E34" s="3" t="s">
        <v>21</v>
      </c>
      <c r="F34" s="4">
        <v>38200</v>
      </c>
      <c r="G34" s="4">
        <v>1849</v>
      </c>
      <c r="H34" s="6" t="s">
        <v>13</v>
      </c>
      <c r="I34" s="6"/>
      <c r="J34" s="13">
        <v>6919</v>
      </c>
      <c r="K34" s="12" t="s">
        <v>42</v>
      </c>
      <c r="L34" s="7" t="s">
        <v>6</v>
      </c>
      <c r="M34" s="14" t="s">
        <v>31</v>
      </c>
    </row>
    <row r="35" spans="1:13" ht="17.25" customHeight="1" x14ac:dyDescent="0.25">
      <c r="A35" s="1">
        <f t="shared" si="2"/>
        <v>34</v>
      </c>
      <c r="B35" s="2" t="s">
        <v>15</v>
      </c>
      <c r="C35" s="12" t="s">
        <v>42</v>
      </c>
      <c r="D35" s="3">
        <v>11501</v>
      </c>
      <c r="E35" s="3" t="s">
        <v>21</v>
      </c>
      <c r="F35" s="8">
        <v>45800</v>
      </c>
      <c r="G35" s="1">
        <v>2216</v>
      </c>
      <c r="H35" s="8" t="s">
        <v>13</v>
      </c>
      <c r="J35" s="13">
        <v>6919</v>
      </c>
      <c r="K35" s="12" t="s">
        <v>42</v>
      </c>
      <c r="L35" s="1" t="s">
        <v>6</v>
      </c>
      <c r="M35" s="14" t="s">
        <v>31</v>
      </c>
    </row>
    <row r="36" spans="1:13" ht="17.25" customHeight="1" x14ac:dyDescent="0.25">
      <c r="A36" s="1">
        <f t="shared" si="2"/>
        <v>35</v>
      </c>
      <c r="B36" s="2" t="s">
        <v>15</v>
      </c>
      <c r="C36" s="12" t="s">
        <v>43</v>
      </c>
      <c r="D36" s="3">
        <v>11501</v>
      </c>
      <c r="E36" s="3" t="s">
        <v>21</v>
      </c>
      <c r="F36" s="8">
        <v>42000</v>
      </c>
      <c r="G36" s="1">
        <v>2032</v>
      </c>
      <c r="H36" s="8" t="s">
        <v>13</v>
      </c>
      <c r="J36" s="13">
        <v>6919</v>
      </c>
      <c r="K36" s="12" t="s">
        <v>42</v>
      </c>
      <c r="L36" s="1" t="s">
        <v>6</v>
      </c>
      <c r="M36" s="14" t="s">
        <v>31</v>
      </c>
    </row>
    <row r="37" spans="1:13" ht="17.25" customHeight="1" x14ac:dyDescent="0.25">
      <c r="A37" s="1">
        <f t="shared" si="2"/>
        <v>36</v>
      </c>
      <c r="B37" s="2" t="s">
        <v>16</v>
      </c>
      <c r="C37" s="8" t="s">
        <v>44</v>
      </c>
      <c r="D37" s="3">
        <v>11501</v>
      </c>
      <c r="E37" s="3" t="s">
        <v>21</v>
      </c>
      <c r="F37" s="8">
        <v>66800</v>
      </c>
      <c r="G37" s="1">
        <v>3233</v>
      </c>
      <c r="J37" s="13">
        <v>6919</v>
      </c>
      <c r="K37" s="12" t="s">
        <v>42</v>
      </c>
      <c r="L37" s="1" t="s">
        <v>6</v>
      </c>
      <c r="M37" s="14" t="s">
        <v>32</v>
      </c>
    </row>
  </sheetData>
  <sheetProtection selectLockedCells="1" selectUnlockedCells="1"/>
  <autoFilter ref="A1:M37" xr:uid="{00000000-0001-0000-0000-000000000000}">
    <filterColumn colId="11">
      <filters>
        <filter val="教育部_技專校院高等教育深耕計畫"/>
      </filters>
    </filterColumn>
  </autoFilter>
  <phoneticPr fontId="2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10</vt:i4>
      </vt:variant>
    </vt:vector>
  </HeadingPairs>
  <TitlesOfParts>
    <vt:vector size="11" baseType="lpstr">
      <vt:lpstr>資料頁</vt:lpstr>
      <vt:lpstr>資料頁!序號</vt:lpstr>
      <vt:lpstr>投保薪額</vt:lpstr>
      <vt:lpstr>資料頁!姓名</vt:lpstr>
      <vt:lpstr>資料頁!保險年月</vt:lpstr>
      <vt:lpstr>資料頁!異動</vt:lpstr>
      <vt:lpstr>資料頁!備註</vt:lpstr>
      <vt:lpstr>資料頁!勞工保險費</vt:lpstr>
      <vt:lpstr>資料頁!單位</vt:lpstr>
      <vt:lpstr>資料頁!業務承辦人</vt:lpstr>
      <vt:lpstr>資料頁!資料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mkc</dc:creator>
  <cp:lastModifiedBy>林家玄s386(分機#2192)</cp:lastModifiedBy>
  <cp:lastPrinted>2026-03-02T09:08:12Z</cp:lastPrinted>
  <dcterms:created xsi:type="dcterms:W3CDTF">2014-07-10T09:28:05Z</dcterms:created>
  <dcterms:modified xsi:type="dcterms:W3CDTF">2026-09-23T09:27:46Z</dcterms:modified>
</cp:coreProperties>
</file>