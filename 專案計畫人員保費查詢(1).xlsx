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49844C5-5A43-4D29-BB2E-16947FB6BA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資料頁" sheetId="1" r:id="rId1"/>
    <sheet name="  查詢  " sheetId="2" r:id="rId2"/>
  </sheets>
  <definedNames>
    <definedName name="_xlnm._FilterDatabase" localSheetId="1" hidden="1">'  查詢  '!$B$3:$F$3</definedName>
    <definedName name="_xlnm._FilterDatabase" localSheetId="0" hidden="1">資料頁!$A$1:$BA$1</definedName>
    <definedName name="全健康保險費" localSheetId="0">資料頁!$H$2:$H$10</definedName>
    <definedName name="序號" localSheetId="0">資料頁!$A$2:$A$10</definedName>
    <definedName name="投保薪額">資料頁!$E$2:$E$10</definedName>
    <definedName name="姓名" localSheetId="0">資料頁!$C$2:$C$10</definedName>
    <definedName name="保險年月" localSheetId="0">資料頁!$D$2:$D$10</definedName>
    <definedName name="異動" localSheetId="0">資料頁!$I$2:$I$10</definedName>
    <definedName name="備註" localSheetId="0">資料頁!$J$2:$J$10</definedName>
    <definedName name="勞工保險費" localSheetId="0">資料頁!$F$2:$F$10</definedName>
    <definedName name="勞工退休金提繳" localSheetId="0">資料頁!$G$2:$G$10</definedName>
    <definedName name="單位" localSheetId="0">資料頁!$B$2:$B$10</definedName>
    <definedName name="業務承辦人" localSheetId="0">資料頁!$K$2:$K$10</definedName>
    <definedName name="資料" localSheetId="0">資料頁!$A$1:$K$10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J4" i="2" l="1" a="1"/>
  <c r="J4" i="2" s="1"/>
  <c r="F4" i="2" a="1"/>
  <c r="F4" i="2" s="1"/>
  <c r="D4" i="2" a="1"/>
  <c r="D4" i="2" s="1"/>
  <c r="C4" i="2" a="1"/>
  <c r="C4" i="2" s="1"/>
  <c r="B4" i="2" a="1"/>
  <c r="B4" i="2" s="1"/>
  <c r="B6" i="2" a="1"/>
  <c r="B6" i="2" s="1"/>
  <c r="D6" i="2" l="1" a="1"/>
  <c r="D6" i="2" s="1"/>
  <c r="F53" i="2" a="1"/>
  <c r="F53" i="2" s="1"/>
  <c r="J6" i="2" a="1"/>
  <c r="J6" i="2" s="1"/>
  <c r="F49" i="2" a="1"/>
  <c r="F49" i="2" s="1"/>
  <c r="C52" i="2" a="1"/>
  <c r="C52" i="2" s="1"/>
  <c r="C50" i="2" a="1"/>
  <c r="C50" i="2" s="1"/>
  <c r="C6" i="2" a="1"/>
  <c r="C6" i="2" s="1"/>
  <c r="F6" i="2" a="1"/>
  <c r="F6" i="2" s="1"/>
  <c r="J54" i="2" a="1"/>
  <c r="J54" i="2" s="1"/>
  <c r="B54" i="2" a="1"/>
  <c r="B54" i="2" s="1"/>
  <c r="D53" i="2" a="1"/>
  <c r="D53" i="2" s="1"/>
  <c r="J52" i="2" a="1"/>
  <c r="J52" i="2" s="1"/>
  <c r="B52" i="2" a="1"/>
  <c r="B52" i="2" s="1"/>
  <c r="D51" i="2" a="1"/>
  <c r="D51" i="2" s="1"/>
  <c r="J50" i="2" a="1"/>
  <c r="J50" i="2" s="1"/>
  <c r="B50" i="2" a="1"/>
  <c r="B50" i="2" s="1"/>
  <c r="D49" i="2" a="1"/>
  <c r="D49" i="2" s="1"/>
  <c r="F54" i="2" a="1"/>
  <c r="F54" i="2" s="1"/>
  <c r="C53" i="2" a="1"/>
  <c r="C53" i="2" s="1"/>
  <c r="F52" i="2" a="1"/>
  <c r="F52" i="2" s="1"/>
  <c r="C51" i="2" a="1"/>
  <c r="C51" i="2" s="1"/>
  <c r="F50" i="2" a="1"/>
  <c r="F50" i="2" s="1"/>
  <c r="C49" i="2" a="1"/>
  <c r="C49" i="2" s="1"/>
  <c r="D54" i="2" a="1"/>
  <c r="D54" i="2" s="1"/>
  <c r="J53" i="2" a="1"/>
  <c r="J53" i="2" s="1"/>
  <c r="B53" i="2" a="1"/>
  <c r="B53" i="2" s="1"/>
  <c r="D52" i="2" a="1"/>
  <c r="D52" i="2" s="1"/>
  <c r="J51" i="2" a="1"/>
  <c r="J51" i="2" s="1"/>
  <c r="B51" i="2" a="1"/>
  <c r="B51" i="2" s="1"/>
  <c r="D50" i="2" a="1"/>
  <c r="D50" i="2" s="1"/>
  <c r="J49" i="2" a="1"/>
  <c r="J49" i="2" s="1"/>
  <c r="B49" i="2" a="1"/>
  <c r="B49" i="2" s="1"/>
  <c r="F51" i="2" a="1"/>
  <c r="F51" i="2" s="1"/>
  <c r="C54" i="2" a="1"/>
  <c r="C54" i="2" s="1"/>
</calcChain>
</file>

<file path=xl/sharedStrings.xml><?xml version="1.0" encoding="utf-8"?>
<sst xmlns="http://schemas.openxmlformats.org/spreadsheetml/2006/main" count="71" uniqueCount="40">
  <si>
    <t>姓名</t>
    <phoneticPr fontId="3" type="noConversion"/>
  </si>
  <si>
    <t>備註</t>
    <phoneticPr fontId="3" type="noConversion"/>
  </si>
  <si>
    <t>序號</t>
    <phoneticPr fontId="4" type="noConversion"/>
  </si>
  <si>
    <t>查詢</t>
    <phoneticPr fontId="3" type="noConversion"/>
  </si>
  <si>
    <t>( ←請輸入您的身分證號後4碼 )</t>
    <phoneticPr fontId="3" type="noConversion"/>
  </si>
  <si>
    <t>專案計畫人員_雇主負擔保險費查詢</t>
    <phoneticPr fontId="3" type="noConversion"/>
  </si>
  <si>
    <t>計畫名稱</t>
    <phoneticPr fontId="3" type="noConversion"/>
  </si>
  <si>
    <t>資源教室</t>
  </si>
  <si>
    <t>教育部_補助大專校院招收及輔導身心障礙學生輔導工作計畫</t>
  </si>
  <si>
    <t>教育部_大專校院招收及輔導身心障礙學生輔導工作計畫</t>
  </si>
  <si>
    <t>專案_學輔中心</t>
    <phoneticPr fontId="4" type="noConversion"/>
  </si>
  <si>
    <t>教育部_大專校院聘用專兼任專業輔導人力計畫</t>
  </si>
  <si>
    <t>專案(高教)_教務處</t>
    <phoneticPr fontId="4" type="noConversion"/>
  </si>
  <si>
    <t>教育部_技專校院高等教育深耕計畫</t>
  </si>
  <si>
    <t>專案(高教)_跨領域</t>
    <phoneticPr fontId="4" type="noConversion"/>
  </si>
  <si>
    <t>單位</t>
    <phoneticPr fontId="3" type="noConversion"/>
  </si>
  <si>
    <t>勞工保險費</t>
    <phoneticPr fontId="3" type="noConversion"/>
  </si>
  <si>
    <t>勞工退休金提繳</t>
    <phoneticPr fontId="3" type="noConversion"/>
  </si>
  <si>
    <t>全民健康保險費</t>
    <phoneticPr fontId="3" type="noConversion"/>
  </si>
  <si>
    <t>異動</t>
    <phoneticPr fontId="4" type="noConversion"/>
  </si>
  <si>
    <t>單位</t>
    <phoneticPr fontId="4" type="noConversion"/>
  </si>
  <si>
    <t>保險年月</t>
    <phoneticPr fontId="3" type="noConversion"/>
  </si>
  <si>
    <t>專案計畫名稱：</t>
    <phoneticPr fontId="3" type="noConversion"/>
  </si>
  <si>
    <t>嚴麟</t>
  </si>
  <si>
    <t>劉品妤</t>
  </si>
  <si>
    <t>楊憶恩</t>
  </si>
  <si>
    <t>謝昱衡</t>
  </si>
  <si>
    <t>鄭維萱</t>
  </si>
  <si>
    <t>江興亞</t>
  </si>
  <si>
    <t>蘇湙絜</t>
  </si>
  <si>
    <t>秦政泰</t>
  </si>
  <si>
    <t>薪調</t>
    <phoneticPr fontId="3" type="noConversion"/>
  </si>
  <si>
    <t>1150901到職</t>
    <phoneticPr fontId="3" type="noConversion"/>
  </si>
  <si>
    <t>業務承辦人</t>
    <phoneticPr fontId="3" type="noConversion"/>
  </si>
  <si>
    <t>a001</t>
    <phoneticPr fontId="3" type="noConversion"/>
  </si>
  <si>
    <t>a002</t>
    <phoneticPr fontId="3" type="noConversion"/>
  </si>
  <si>
    <t>a003</t>
    <phoneticPr fontId="3" type="noConversion"/>
  </si>
  <si>
    <t>投保薪額</t>
    <phoneticPr fontId="3" type="noConversion"/>
  </si>
  <si>
    <t>專案_學輔中心</t>
  </si>
  <si>
    <t>專案(高教)_教務處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</si>
</sst>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000&quot;-&quot;00"/>
    <numFmt numFmtId="178" formatCode="#,##0_);[Red]\(#,##0\)"/>
  </numFmts>
  <fonts count="30">
    <font>
      <sz val="12"/>
      <color theme="1"/>
      <name val="新細明體"/>
      <family val="2"/>
      <charset val="136"/>
      <scheme val="minor"/>
    </font>
    <font>
      <sz val="10"/>
      <color theme="1"/>
      <name val="Microsoft YaHei"/>
      <family val="2"/>
      <charset val="136"/>
    </font>
    <font>
      <b/>
      <sz val="12"/>
      <color theme="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Microsoft YaHei"/>
      <family val="2"/>
      <charset val="134"/>
    </font>
    <font>
      <sz val="12"/>
      <color theme="1"/>
      <name val="Microsoft YaHei"/>
      <family val="2"/>
    </font>
    <font>
      <b/>
      <sz val="16"/>
      <color theme="1"/>
      <name val="Microsoft YaHei"/>
      <family val="2"/>
    </font>
    <font>
      <b/>
      <sz val="12"/>
      <color theme="1"/>
      <name val="Microsoft YaHei"/>
      <family val="2"/>
    </font>
    <font>
      <sz val="10"/>
      <name val="Microsoft YaHei"/>
      <family val="2"/>
    </font>
    <font>
      <sz val="10"/>
      <color theme="1"/>
      <name val="Microsoft YaHei"/>
      <family val="2"/>
    </font>
    <font>
      <sz val="12"/>
      <color rgb="FFFF0000"/>
      <name val="Microsoft YaHei"/>
      <family val="2"/>
    </font>
    <font>
      <sz val="10"/>
      <color rgb="FF222222"/>
      <name val="Microsoft YaHei"/>
      <family val="2"/>
    </font>
    <font>
      <sz val="10"/>
      <color rgb="FFFF0000"/>
      <name val="Microsoft YaHei"/>
      <family val="2"/>
    </font>
    <font>
      <sz val="16"/>
      <color theme="1"/>
      <name val="Microsoft YaHei"/>
      <family val="2"/>
    </font>
    <font>
      <sz val="12"/>
      <name val="Microsoft YaHei"/>
      <family val="2"/>
    </font>
    <font>
      <b/>
      <sz val="22"/>
      <color rgb="FF0000FF"/>
      <name val="Microsoft YaHei"/>
      <family val="2"/>
      <charset val="134"/>
    </font>
    <font>
      <b/>
      <sz val="12"/>
      <name val="Microsoft YaHei"/>
      <family val="2"/>
      <charset val="134"/>
    </font>
    <font>
      <sz val="12"/>
      <color theme="1"/>
      <name val="細明體"/>
      <family val="2"/>
      <charset val="136"/>
    </font>
    <font>
      <b/>
      <sz val="12"/>
      <name val="細明體"/>
      <family val="2"/>
      <charset val="136"/>
    </font>
    <font>
      <b/>
      <sz val="12"/>
      <color theme="0"/>
      <name val="細明體"/>
      <family val="2"/>
      <charset val="136"/>
    </font>
    <font>
      <sz val="12"/>
      <color indexed="56"/>
      <name val="Microsoft YaHei"/>
      <family val="2"/>
    </font>
    <font>
      <sz val="12"/>
      <color rgb="FFD30000"/>
      <name val="Microsoft YaHei"/>
      <family val="2"/>
    </font>
    <font>
      <sz val="12"/>
      <color rgb="FFD30000"/>
      <name val="微軟正黑體"/>
      <family val="2"/>
      <charset val="136"/>
    </font>
    <font>
      <b/>
      <sz val="14"/>
      <color rgb="FFFF0000"/>
      <name val="Microsoft YaHei"/>
      <family val="2"/>
    </font>
    <font>
      <sz val="12"/>
      <name val="Microsoft Ya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FFF"/>
        <bgColor indexed="64"/>
      </patternFill>
    </fill>
  </fills>
  <borders count="6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5">
    <xf numFmtId="0" fontId="0" fillId="0" borderId="0" xfId="0">
      <alignment vertical="center"/>
    </xf>
    <xf numFmtId="0" fontId="2" fillId="2" borderId="0" xfId="0" applyNumberFormat="1" applyFont="1" applyFill="1" applyBorder="1" applyAlignment="1" applyProtection="1">
      <alignment horizontal="left" vertical="center" wrapText="1"/>
      <protection hidden="1"/>
    </xf>
    <xf numFmtId="0" fontId="6" fillId="0" borderId="0" xfId="0" applyNumberFormat="1" applyFont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10" fillId="5" borderId="0" xfId="0" applyFont="1" applyFill="1" applyProtection="1">
      <alignment vertical="center"/>
      <protection hidden="1"/>
    </xf>
    <xf numFmtId="0" fontId="13" fillId="5" borderId="0" xfId="0" applyFont="1" applyFill="1" applyBorder="1" applyProtection="1">
      <alignment vertical="center"/>
      <protection hidden="1"/>
    </xf>
    <xf numFmtId="0" fontId="14" fillId="5" borderId="0" xfId="0" applyFont="1" applyFill="1" applyBorder="1" applyProtection="1">
      <alignment vertical="center"/>
      <protection hidden="1"/>
    </xf>
    <xf numFmtId="14" fontId="15" fillId="5" borderId="0" xfId="0" applyNumberFormat="1" applyFont="1" applyFill="1" applyBorder="1" applyAlignment="1" applyProtection="1">
      <alignment horizontal="left" vertical="center"/>
      <protection hidden="1"/>
    </xf>
    <xf numFmtId="14" fontId="14" fillId="5" borderId="0" xfId="0" applyNumberFormat="1" applyFont="1" applyFill="1" applyBorder="1" applyProtection="1">
      <alignment vertical="center"/>
      <protection hidden="1"/>
    </xf>
    <xf numFmtId="0" fontId="12" fillId="5" borderId="0" xfId="0" applyFont="1" applyFill="1" applyProtection="1">
      <alignment vertical="center"/>
      <protection hidden="1"/>
    </xf>
    <xf numFmtId="0" fontId="16" fillId="5" borderId="0" xfId="0" applyFont="1" applyFill="1" applyAlignment="1" applyProtection="1">
      <alignment horizontal="center" vertical="center"/>
      <protection hidden="1"/>
    </xf>
    <xf numFmtId="0" fontId="17" fillId="5" borderId="0" xfId="0" applyFont="1" applyFill="1" applyAlignment="1" applyProtection="1">
      <alignment horizontal="center" vertical="center"/>
      <protection hidden="1"/>
    </xf>
    <xf numFmtId="0" fontId="16" fillId="5" borderId="0" xfId="0" applyFont="1" applyFill="1" applyAlignment="1" applyProtection="1">
      <alignment horizontal="center" vertical="center" wrapText="1"/>
      <protection hidden="1"/>
    </xf>
    <xf numFmtId="0" fontId="18" fillId="5" borderId="0" xfId="0" applyFont="1" applyFill="1" applyAlignment="1" applyProtection="1">
      <alignment horizontal="center" vertical="center"/>
      <protection hidden="1"/>
    </xf>
    <xf numFmtId="0" fontId="19" fillId="7" borderId="0" xfId="0" applyFont="1" applyFill="1" applyAlignment="1" applyProtection="1">
      <alignment horizontal="center" vertical="center"/>
      <protection hidden="1"/>
    </xf>
    <xf numFmtId="0" fontId="19" fillId="7" borderId="0" xfId="0" applyFont="1" applyFill="1" applyAlignment="1" applyProtection="1">
      <alignment horizontal="center" vertical="center" wrapText="1"/>
      <protection hidden="1"/>
    </xf>
    <xf numFmtId="0" fontId="15" fillId="7" borderId="0" xfId="0" applyFont="1" applyFill="1" applyAlignment="1" applyProtection="1">
      <alignment horizontal="center" vertical="center"/>
      <protection hidden="1"/>
    </xf>
    <xf numFmtId="0" fontId="19" fillId="8" borderId="0" xfId="0" applyFont="1" applyFill="1" applyAlignment="1" applyProtection="1">
      <alignment horizontal="center" vertical="center"/>
      <protection hidden="1"/>
    </xf>
    <xf numFmtId="0" fontId="19" fillId="8" borderId="0" xfId="0" applyFont="1" applyFill="1" applyAlignment="1" applyProtection="1">
      <alignment horizontal="center" vertical="center" wrapText="1"/>
      <protection hidden="1"/>
    </xf>
    <xf numFmtId="0" fontId="15" fillId="8" borderId="0" xfId="0" applyFont="1" applyFill="1" applyAlignment="1" applyProtection="1">
      <alignment horizontal="center" vertical="center"/>
      <protection hidden="1"/>
    </xf>
    <xf numFmtId="0" fontId="24" fillId="6" borderId="0" xfId="0" applyFont="1" applyFill="1" applyBorder="1" applyAlignment="1" applyProtection="1">
      <alignment horizontal="center" vertical="center" wrapText="1"/>
      <protection hidden="1"/>
    </xf>
    <xf numFmtId="0" fontId="22" fillId="4" borderId="1" xfId="0" applyFont="1" applyFill="1" applyBorder="1" applyAlignment="1" applyProtection="1">
      <alignment horizontal="distributed" vertical="center"/>
      <protection hidden="1"/>
    </xf>
    <xf numFmtId="177" fontId="25" fillId="0" borderId="0" xfId="6" applyNumberFormat="1" applyFont="1" applyAlignment="1">
      <alignment horizontal="left" vertical="center"/>
    </xf>
    <xf numFmtId="0" fontId="25" fillId="0" borderId="0" xfId="6" applyFont="1" applyAlignment="1">
      <alignment horizontal="left" vertical="center" shrinkToFit="1"/>
    </xf>
    <xf numFmtId="178" fontId="25" fillId="0" borderId="0" xfId="6" applyNumberFormat="1" applyFont="1" applyAlignment="1">
      <alignment horizontal="right" vertical="center"/>
    </xf>
    <xf numFmtId="3" fontId="19" fillId="0" borderId="0" xfId="6" applyNumberFormat="1" applyFont="1">
      <alignment vertical="center"/>
    </xf>
    <xf numFmtId="178" fontId="19" fillId="0" borderId="0" xfId="6" applyNumberFormat="1" applyFont="1" applyAlignment="1">
      <alignment horizontal="right" vertical="center"/>
    </xf>
    <xf numFmtId="0" fontId="25" fillId="0" borderId="0" xfId="6" applyFont="1">
      <alignment vertical="center"/>
    </xf>
    <xf numFmtId="3" fontId="26" fillId="0" borderId="0" xfId="6" applyNumberFormat="1" applyFont="1">
      <alignment vertical="center"/>
    </xf>
    <xf numFmtId="178" fontId="15" fillId="0" borderId="0" xfId="6" applyNumberFormat="1" applyFont="1" applyAlignment="1">
      <alignment horizontal="right" vertical="center"/>
    </xf>
    <xf numFmtId="3" fontId="27" fillId="0" borderId="0" xfId="6" applyNumberFormat="1" applyFont="1">
      <alignment vertical="center"/>
    </xf>
    <xf numFmtId="176" fontId="28" fillId="5" borderId="3" xfId="5" applyNumberFormat="1" applyFont="1" applyFill="1" applyBorder="1" applyAlignment="1" applyProtection="1">
      <alignment horizontal="left" vertical="center"/>
      <protection hidden="1"/>
    </xf>
    <xf numFmtId="176" fontId="28" fillId="5" borderId="3" xfId="5" applyNumberFormat="1" applyFont="1" applyFill="1" applyBorder="1" applyAlignment="1" applyProtection="1">
      <alignment horizontal="center" vertical="center"/>
      <protection hidden="1"/>
    </xf>
    <xf numFmtId="14" fontId="15" fillId="5" borderId="3" xfId="0" applyNumberFormat="1" applyFont="1" applyFill="1" applyBorder="1" applyAlignment="1" applyProtection="1">
      <alignment horizontal="left" vertical="center"/>
      <protection hidden="1"/>
    </xf>
    <xf numFmtId="0" fontId="29" fillId="7" borderId="0" xfId="0" applyFont="1" applyFill="1" applyAlignment="1" applyProtection="1">
      <alignment horizontal="center" vertical="center"/>
      <protection hidden="1"/>
    </xf>
    <xf numFmtId="0" fontId="22" fillId="5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quotePrefix="1" applyNumberFormat="1" applyFont="1" applyAlignment="1">
      <alignment horizontal="center" vertical="center"/>
    </xf>
    <xf numFmtId="0" fontId="20" fillId="3" borderId="5" xfId="0" applyFont="1" applyFill="1" applyBorder="1" applyAlignment="1" applyProtection="1">
      <alignment horizontal="center" vertical="center"/>
      <protection hidden="1"/>
    </xf>
    <xf numFmtId="0" fontId="13" fillId="5" borderId="0" xfId="0" applyFont="1" applyFill="1" applyProtection="1">
      <alignment vertical="center"/>
      <protection hidden="1"/>
    </xf>
    <xf numFmtId="0" fontId="23" fillId="5" borderId="0" xfId="0" applyFont="1" applyFill="1" applyBorder="1" applyAlignment="1" applyProtection="1">
      <alignment horizontal="distributed" vertical="center"/>
      <protection hidden="1"/>
    </xf>
    <xf numFmtId="0" fontId="21" fillId="5" borderId="0" xfId="0" applyFont="1" applyFill="1" applyBorder="1" applyAlignment="1" applyProtection="1">
      <alignment horizontal="distributed" vertical="center"/>
      <protection hidden="1"/>
    </xf>
    <xf numFmtId="0" fontId="9" fillId="5" borderId="4" xfId="0" applyFont="1" applyFill="1" applyBorder="1" applyAlignment="1" applyProtection="1">
      <alignment horizontal="center" vertical="center"/>
      <protection hidden="1"/>
    </xf>
    <xf numFmtId="0" fontId="11" fillId="5" borderId="4" xfId="0" applyFont="1" applyFill="1" applyBorder="1" applyAlignment="1" applyProtection="1">
      <alignment horizontal="center" vertical="center"/>
      <protection hidden="1"/>
    </xf>
  </cellXfs>
  <cellStyles count="7">
    <cellStyle name="一般" xfId="0" builtinId="0"/>
    <cellStyle name="一般 12" xfId="2" xr:uid="{00000000-0005-0000-0000-000001000000}"/>
    <cellStyle name="一般 2" xfId="1" xr:uid="{00000000-0005-0000-0000-000002000000}"/>
    <cellStyle name="一般 3" xfId="3" xr:uid="{00000000-0005-0000-0000-000003000000}"/>
    <cellStyle name="一般 4" xfId="4" xr:uid="{00000000-0005-0000-0000-000004000000}"/>
    <cellStyle name="一般 5" xfId="6" xr:uid="{A7BD463C-EA14-49ED-983D-9E0D0FDBD4DD}"/>
    <cellStyle name="千分位" xfId="5" builtinId="3"/>
  </cellStyles>
  <dxfs count="0"/>
  <tableStyles count="0" defaultTableStyle="TableStyleMedium2" defaultPivotStyle="PivotStyleLight16"/>
  <colors>
    <mruColors>
      <color rgb="FF0000FF"/>
      <color rgb="FF0000CC"/>
      <color rgb="FFFFFF99"/>
      <color rgb="FFF3FFFF"/>
      <color rgb="FFFFF7FF"/>
      <color rgb="FFE5FFFF"/>
      <color rgb="FFFFF3FF"/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00B050"/>
  </sheetPr>
  <dimension ref="A1:L10"/>
  <sheetViews>
    <sheetView zoomScale="90" zoomScaleNormal="9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G18" sqref="G18"/>
    </sheetView>
  </sheetViews>
  <sheetFormatPr defaultRowHeight="17.25" customHeight="1"/>
  <cols>
    <col min="1" max="1" width="5.875" style="4" bestFit="1" customWidth="1"/>
    <col min="2" max="2" width="25.375" style="4" bestFit="1" customWidth="1"/>
    <col min="3" max="3" width="10" style="5" bestFit="1" customWidth="1"/>
    <col min="4" max="5" width="14.25" style="5" bestFit="1" customWidth="1"/>
    <col min="6" max="6" width="16.625" style="5" bestFit="1" customWidth="1"/>
    <col min="7" max="7" width="21.375" style="5" bestFit="1" customWidth="1"/>
    <col min="8" max="8" width="19.375" style="4" bestFit="1" customWidth="1"/>
    <col min="9" max="9" width="12.75" style="5" bestFit="1" customWidth="1"/>
    <col min="10" max="10" width="10" style="4" bestFit="1" customWidth="1"/>
    <col min="11" max="11" width="17.875" style="4" bestFit="1" customWidth="1"/>
    <col min="12" max="12" width="59.5" style="4" bestFit="1" customWidth="1"/>
    <col min="13" max="13" width="11.375" style="4" customWidth="1"/>
    <col min="14" max="14" width="10.5" style="4" customWidth="1"/>
    <col min="15" max="18" width="9" style="4" customWidth="1"/>
    <col min="19" max="19" width="17.75" style="4" customWidth="1"/>
    <col min="20" max="23" width="9" style="4" customWidth="1"/>
    <col min="24" max="24" width="16.375" style="4" customWidth="1"/>
    <col min="25" max="53" width="9" style="4" customWidth="1"/>
    <col min="54" max="16384" width="9" style="4"/>
  </cols>
  <sheetData>
    <row r="1" spans="1:12" s="2" customFormat="1" ht="39" customHeight="1">
      <c r="A1" s="1" t="s">
        <v>2</v>
      </c>
      <c r="B1" s="1" t="s">
        <v>20</v>
      </c>
      <c r="C1" s="3" t="s">
        <v>0</v>
      </c>
      <c r="D1" s="3" t="s">
        <v>21</v>
      </c>
      <c r="E1" s="3" t="s">
        <v>37</v>
      </c>
      <c r="F1" s="3" t="s">
        <v>16</v>
      </c>
      <c r="G1" s="3" t="s">
        <v>17</v>
      </c>
      <c r="H1" s="1" t="s">
        <v>18</v>
      </c>
      <c r="I1" s="3" t="s">
        <v>19</v>
      </c>
      <c r="J1" s="3" t="s">
        <v>1</v>
      </c>
      <c r="K1" s="3" t="s">
        <v>33</v>
      </c>
      <c r="L1" s="3" t="s">
        <v>6</v>
      </c>
    </row>
    <row r="2" spans="1:12" ht="17.25" customHeight="1">
      <c r="A2" s="4">
        <v>1</v>
      </c>
      <c r="B2" s="25" t="s">
        <v>7</v>
      </c>
      <c r="C2" s="4" t="s">
        <v>23</v>
      </c>
      <c r="D2" s="24">
        <v>11509</v>
      </c>
      <c r="E2" s="26">
        <v>53000</v>
      </c>
      <c r="F2" s="27">
        <v>4072</v>
      </c>
      <c r="G2" s="28">
        <v>1145</v>
      </c>
      <c r="H2" s="28">
        <v>1145</v>
      </c>
      <c r="I2" s="38"/>
      <c r="J2" s="38"/>
      <c r="K2" s="4" t="s">
        <v>34</v>
      </c>
      <c r="L2" s="29" t="s">
        <v>8</v>
      </c>
    </row>
    <row r="3" spans="1:12" ht="17.25" customHeight="1">
      <c r="A3" s="4">
        <v>2</v>
      </c>
      <c r="B3" s="25" t="s">
        <v>7</v>
      </c>
      <c r="C3" s="4" t="s">
        <v>24</v>
      </c>
      <c r="D3" s="24">
        <v>11509</v>
      </c>
      <c r="E3" s="26">
        <v>45800</v>
      </c>
      <c r="F3" s="30">
        <v>4063</v>
      </c>
      <c r="G3" s="28">
        <v>1145</v>
      </c>
      <c r="H3" s="28">
        <v>1145</v>
      </c>
      <c r="I3" s="38"/>
      <c r="J3" s="38"/>
      <c r="K3" s="4" t="s">
        <v>34</v>
      </c>
      <c r="L3" s="29" t="s">
        <v>9</v>
      </c>
    </row>
    <row r="4" spans="1:12" ht="17.25" customHeight="1">
      <c r="A4" s="4">
        <v>3</v>
      </c>
      <c r="B4" s="25" t="s">
        <v>10</v>
      </c>
      <c r="C4" s="4" t="s">
        <v>25</v>
      </c>
      <c r="D4" s="24">
        <v>11509</v>
      </c>
      <c r="E4" s="31">
        <v>43900</v>
      </c>
      <c r="F4" s="32">
        <v>3894</v>
      </c>
      <c r="G4" s="28">
        <v>1098</v>
      </c>
      <c r="H4" s="28">
        <v>1098</v>
      </c>
      <c r="I4" s="5" t="s">
        <v>32</v>
      </c>
      <c r="J4" s="38"/>
      <c r="K4" s="4" t="s">
        <v>34</v>
      </c>
      <c r="L4" s="29" t="s">
        <v>9</v>
      </c>
    </row>
    <row r="5" spans="1:12" ht="17.25" customHeight="1">
      <c r="A5" s="4">
        <v>4</v>
      </c>
      <c r="B5" s="25" t="s">
        <v>10</v>
      </c>
      <c r="C5" s="4" t="s">
        <v>26</v>
      </c>
      <c r="D5" s="24">
        <v>11509</v>
      </c>
      <c r="E5" s="26">
        <v>45800</v>
      </c>
      <c r="F5" s="30">
        <v>4063</v>
      </c>
      <c r="G5" s="28">
        <v>1145</v>
      </c>
      <c r="H5" s="28">
        <v>1145</v>
      </c>
      <c r="I5" s="38"/>
      <c r="J5" s="38"/>
      <c r="K5" s="4" t="s">
        <v>35</v>
      </c>
      <c r="L5" s="29" t="s">
        <v>11</v>
      </c>
    </row>
    <row r="6" spans="1:12" ht="17.25" customHeight="1">
      <c r="A6" s="4">
        <v>5</v>
      </c>
      <c r="B6" s="25" t="s">
        <v>10</v>
      </c>
      <c r="C6" s="4" t="s">
        <v>27</v>
      </c>
      <c r="D6" s="24">
        <v>11508</v>
      </c>
      <c r="E6" s="26">
        <v>45800</v>
      </c>
      <c r="F6" s="27">
        <v>4063</v>
      </c>
      <c r="G6" s="28">
        <v>1145</v>
      </c>
      <c r="H6" s="28">
        <v>1145</v>
      </c>
      <c r="I6" s="38"/>
      <c r="J6" s="38"/>
      <c r="K6" s="4" t="s">
        <v>35</v>
      </c>
      <c r="L6" s="29" t="s">
        <v>11</v>
      </c>
    </row>
    <row r="7" spans="1:12" ht="17.25" customHeight="1">
      <c r="A7" s="4">
        <v>6</v>
      </c>
      <c r="B7" s="25" t="s">
        <v>12</v>
      </c>
      <c r="C7" s="4" t="s">
        <v>27</v>
      </c>
      <c r="D7" s="24">
        <v>11509</v>
      </c>
      <c r="E7" s="26">
        <v>55400</v>
      </c>
      <c r="F7" s="27">
        <v>4074</v>
      </c>
      <c r="G7" s="28">
        <v>1145</v>
      </c>
      <c r="H7" s="28">
        <v>1145</v>
      </c>
      <c r="I7" s="38"/>
      <c r="J7" s="38"/>
      <c r="K7" s="4" t="s">
        <v>35</v>
      </c>
      <c r="L7" s="29" t="s">
        <v>11</v>
      </c>
    </row>
    <row r="8" spans="1:12" ht="17.25" customHeight="1">
      <c r="A8" s="4">
        <v>7</v>
      </c>
      <c r="B8" s="25" t="s">
        <v>12</v>
      </c>
      <c r="C8" s="4" t="s">
        <v>28</v>
      </c>
      <c r="D8" s="24">
        <v>11509</v>
      </c>
      <c r="E8" s="26">
        <v>48200</v>
      </c>
      <c r="F8" s="27">
        <v>4066</v>
      </c>
      <c r="G8" s="28">
        <v>1145</v>
      </c>
      <c r="H8" s="28">
        <v>1145</v>
      </c>
      <c r="I8" s="38"/>
      <c r="J8" s="38"/>
      <c r="K8" s="4" t="s">
        <v>36</v>
      </c>
      <c r="L8" s="29" t="s">
        <v>13</v>
      </c>
    </row>
    <row r="9" spans="1:12" ht="17.25" customHeight="1">
      <c r="A9" s="4">
        <v>8</v>
      </c>
      <c r="B9" s="25" t="s">
        <v>12</v>
      </c>
      <c r="C9" s="4" t="s">
        <v>29</v>
      </c>
      <c r="D9" s="24">
        <v>11509</v>
      </c>
      <c r="E9" s="26">
        <v>50600</v>
      </c>
      <c r="F9" s="27">
        <v>4069</v>
      </c>
      <c r="G9" s="28">
        <v>1145</v>
      </c>
      <c r="H9" s="28">
        <v>1145</v>
      </c>
      <c r="I9" s="5" t="s">
        <v>31</v>
      </c>
      <c r="J9" s="38"/>
      <c r="K9" s="4" t="s">
        <v>36</v>
      </c>
      <c r="L9" s="29" t="s">
        <v>13</v>
      </c>
    </row>
    <row r="10" spans="1:12" ht="17.25" customHeight="1">
      <c r="A10" s="4">
        <v>9</v>
      </c>
      <c r="B10" s="25" t="s">
        <v>14</v>
      </c>
      <c r="C10" s="4" t="s">
        <v>30</v>
      </c>
      <c r="D10" s="24">
        <v>11509</v>
      </c>
      <c r="E10" s="26">
        <v>38200</v>
      </c>
      <c r="F10" s="27">
        <v>3388</v>
      </c>
      <c r="G10" s="28">
        <v>955</v>
      </c>
      <c r="H10" s="28">
        <v>955</v>
      </c>
      <c r="I10" s="38"/>
      <c r="J10" s="38"/>
      <c r="K10" s="4" t="s">
        <v>36</v>
      </c>
      <c r="L10" s="29" t="s">
        <v>13</v>
      </c>
    </row>
  </sheetData>
  <sheetProtection selectLockedCells="1" selectUnlockedCells="1"/>
  <autoFilter ref="A1:BA1" xr:uid="{00000000-0009-0000-0000-000000000000}"/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FF0000"/>
  </sheetPr>
  <dimension ref="B1:J54"/>
  <sheetViews>
    <sheetView tabSelected="1" zoomScaleNormal="100" workbookViewId="0">
      <selection activeCell="C12" sqref="C12"/>
    </sheetView>
  </sheetViews>
  <sheetFormatPr defaultRowHeight="17.25"/>
  <cols>
    <col min="1" max="1" width="2.75" style="6" customWidth="1"/>
    <col min="2" max="2" width="17.875" style="6" customWidth="1"/>
    <col min="3" max="3" width="22.375" style="6" customWidth="1"/>
    <col min="4" max="4" width="13.375" style="6" customWidth="1"/>
    <col min="5" max="5" width="11.375" style="6" customWidth="1"/>
    <col min="6" max="6" width="22.625" style="6" customWidth="1"/>
    <col min="7" max="7" width="17.375" style="6" bestFit="1" customWidth="1"/>
    <col min="8" max="8" width="17.125" style="6" customWidth="1"/>
    <col min="9" max="9" width="18.375" style="6" customWidth="1"/>
    <col min="10" max="10" width="35.125" style="6" customWidth="1"/>
    <col min="11" max="16384" width="9" style="6"/>
  </cols>
  <sheetData>
    <row r="1" spans="2:10" ht="41.25" customHeight="1">
      <c r="B1" s="43" t="s">
        <v>5</v>
      </c>
      <c r="C1" s="44"/>
      <c r="D1" s="44"/>
      <c r="E1" s="44"/>
      <c r="F1" s="44"/>
      <c r="G1" s="44"/>
      <c r="H1" s="44"/>
      <c r="I1" s="44"/>
      <c r="J1" s="44"/>
    </row>
    <row r="2" spans="2:10" ht="14.25" customHeight="1" thickBot="1">
      <c r="B2" s="15"/>
      <c r="C2" s="15"/>
      <c r="D2" s="15"/>
      <c r="E2" s="15"/>
      <c r="F2" s="15"/>
      <c r="G2" s="15"/>
      <c r="H2" s="15"/>
      <c r="I2" s="15"/>
      <c r="J2" s="15"/>
    </row>
    <row r="3" spans="2:10" ht="30" customHeight="1" thickBot="1">
      <c r="B3" s="39" t="s">
        <v>3</v>
      </c>
      <c r="C3" s="23" t="s">
        <v>33</v>
      </c>
      <c r="D3" s="37" t="s">
        <v>35</v>
      </c>
      <c r="E3" s="40" t="s">
        <v>4</v>
      </c>
      <c r="G3" s="7"/>
      <c r="H3" s="7"/>
      <c r="I3" s="7"/>
      <c r="J3" s="8"/>
    </row>
    <row r="4" spans="2:10" ht="8.25" customHeight="1">
      <c r="B4" s="12" t="str">
        <f t="array" ref="B4">IFERROR(INDEX(資料,SMALL(IF((員工編號=$D$3)*(識別證卡號=#REF!),序號,FALSE),ROW(#REF!)),2),"")</f>
        <v/>
      </c>
      <c r="C4" s="12" t="str">
        <f t="array" ref="C4">IFERROR(INDEX(資料,SMALL(IF((員工編號=$D$3)*(識別證卡號=#REF!),序號,FALSE),ROW(#REF!)),3),"")</f>
        <v/>
      </c>
      <c r="D4" s="12" t="str">
        <f t="array" ref="D4">IFERROR(INDEX(資料,SMALL(IF((員工編號=$D$3)*(識別證卡號=#REF!),序號,FALSE),ROW(#REF!)),4),"")</f>
        <v/>
      </c>
      <c r="E4" s="12"/>
      <c r="F4" s="12" t="str">
        <f t="array" ref="F4">IFERROR(INDEX(資料,SMALL(IF((員工編號=$D$3)*(識別證卡號=#REF!),序號,FALSE),ROW(#REF!)),7),"")</f>
        <v/>
      </c>
      <c r="G4" s="12"/>
      <c r="H4" s="12"/>
      <c r="I4" s="12"/>
      <c r="J4" s="13" t="str">
        <f t="array" ref="J4">IFERROR(INDEX(資料,SMALL(IF((員工編號=$D$3)*(識別證卡號=#REF!),序號,FALSE),ROW(#REF!)),8),"")</f>
        <v/>
      </c>
    </row>
    <row r="5" spans="2:10" ht="23.25" customHeight="1">
      <c r="B5" s="41" t="s">
        <v>22</v>
      </c>
      <c r="C5" s="42"/>
      <c r="D5" s="33" t="str">
        <f>VLOOKUP($D$3,資料頁!$K$1:$L$10,2,FALSE)</f>
        <v>教育部_大專校院聘用專兼任專業輔導人力計畫</v>
      </c>
      <c r="E5" s="34"/>
      <c r="F5" s="35"/>
      <c r="G5" s="35"/>
      <c r="H5" s="35"/>
      <c r="I5" s="9"/>
      <c r="J5" s="10"/>
    </row>
    <row r="6" spans="2:10" ht="7.5" customHeight="1">
      <c r="B6" s="12" t="str">
        <f t="array" ref="B6">IFERROR(INDEX(資料,SMALL(IF((員工編號=$D$3)*(識別證卡號=#REF!),序號,FALSE),ROW(#REF!)),2),"")</f>
        <v/>
      </c>
      <c r="C6" s="12" t="str">
        <f t="array" ref="C6">IFERROR(INDEX(資料,SMALL(IF((員工編號=$D$3)*(識別證卡號=#REF!),序號,FALSE),ROW(#REF!)),3),"")</f>
        <v/>
      </c>
      <c r="D6" s="12" t="str">
        <f t="array" ref="D6">IFERROR(INDEX(資料,SMALL(IF((員工編號=$D$3)*(識別證卡號=#REF!),序號,FALSE),ROW(#REF!)),4),"")</f>
        <v/>
      </c>
      <c r="E6" s="12"/>
      <c r="F6" s="12" t="str">
        <f t="array" ref="F6">IFERROR(INDEX(資料,SMALL(IF((員工編號=$D$3)*(識別證卡號=#REF!),序號,FALSE),ROW(#REF!)),7),"")</f>
        <v/>
      </c>
      <c r="G6" s="12"/>
      <c r="H6" s="12"/>
      <c r="I6" s="12"/>
      <c r="J6" s="13" t="str">
        <f t="array" ref="J6">IFERROR(INDEX(資料,SMALL(IF((員工編號=$D$3)*(識別證卡號=#REF!),序號,FALSE),ROW(#REF!)),8),"")</f>
        <v/>
      </c>
    </row>
    <row r="7" spans="2:10" s="11" customFormat="1" ht="27.75" customHeight="1">
      <c r="B7" s="22" t="s">
        <v>15</v>
      </c>
      <c r="C7" s="22" t="s">
        <v>0</v>
      </c>
      <c r="D7" s="22" t="s">
        <v>21</v>
      </c>
      <c r="E7" s="3" t="s">
        <v>37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1</v>
      </c>
    </row>
    <row r="8" spans="2:10" ht="39.950000000000003" customHeight="1">
      <c r="B8" s="36" t="s">
        <v>38</v>
      </c>
      <c r="C8" s="36" t="s">
        <v>26</v>
      </c>
      <c r="D8" s="16">
        <v>11509</v>
      </c>
      <c r="E8" s="16">
        <v>45800</v>
      </c>
      <c r="F8" s="16">
        <v>4063</v>
      </c>
      <c r="G8" s="16">
        <v>1145</v>
      </c>
      <c r="H8" s="16">
        <v>1145</v>
      </c>
      <c r="I8" s="16"/>
      <c r="J8" s="16"/>
    </row>
    <row r="9" spans="2:10" ht="39.950000000000003" customHeight="1">
      <c r="B9" s="19" t="s">
        <v>38</v>
      </c>
      <c r="C9" s="19" t="s">
        <v>27</v>
      </c>
      <c r="D9" s="19">
        <v>11508</v>
      </c>
      <c r="E9" s="19">
        <v>45800</v>
      </c>
      <c r="F9" s="20">
        <v>4063</v>
      </c>
      <c r="G9" s="20">
        <v>1145</v>
      </c>
      <c r="H9" s="20">
        <v>1145</v>
      </c>
      <c r="I9" s="20"/>
      <c r="J9" s="21"/>
    </row>
    <row r="10" spans="2:10" ht="39.950000000000003" customHeight="1">
      <c r="B10" s="16" t="s">
        <v>39</v>
      </c>
      <c r="C10" s="16" t="s">
        <v>27</v>
      </c>
      <c r="D10" s="16">
        <v>11509</v>
      </c>
      <c r="E10" s="16">
        <v>55400</v>
      </c>
      <c r="F10" s="17">
        <v>4074</v>
      </c>
      <c r="G10" s="17">
        <v>1145</v>
      </c>
      <c r="H10" s="17">
        <v>1145</v>
      </c>
      <c r="I10" s="17"/>
      <c r="J10" s="18"/>
    </row>
    <row r="11" spans="2:10" ht="39.950000000000003" customHeight="1">
      <c r="B11" s="19"/>
      <c r="C11" s="19"/>
      <c r="D11" s="19"/>
      <c r="E11" s="19"/>
      <c r="F11" s="20"/>
      <c r="G11" s="20"/>
      <c r="H11" s="20"/>
      <c r="I11" s="20"/>
      <c r="J11" s="21"/>
    </row>
    <row r="12" spans="2:10" ht="39.950000000000003" customHeight="1">
      <c r="B12" s="16"/>
      <c r="C12" s="16"/>
      <c r="D12" s="16"/>
      <c r="E12" s="16"/>
      <c r="F12" s="17"/>
      <c r="G12" s="17"/>
      <c r="H12" s="17"/>
      <c r="I12" s="17"/>
      <c r="J12" s="18"/>
    </row>
    <row r="13" spans="2:10" ht="39.950000000000003" customHeight="1">
      <c r="B13" s="19"/>
      <c r="C13" s="19"/>
      <c r="D13" s="19"/>
      <c r="E13" s="19"/>
      <c r="F13" s="20"/>
      <c r="G13" s="20"/>
      <c r="H13" s="20"/>
      <c r="I13" s="20"/>
      <c r="J13" s="21"/>
    </row>
    <row r="14" spans="2:10" ht="39.950000000000003" customHeight="1">
      <c r="B14" s="16"/>
      <c r="C14" s="16"/>
      <c r="D14" s="16"/>
      <c r="E14" s="16"/>
      <c r="F14" s="17"/>
      <c r="G14" s="17"/>
      <c r="H14" s="17"/>
      <c r="I14" s="17"/>
      <c r="J14" s="18"/>
    </row>
    <row r="15" spans="2:10" ht="39.950000000000003" customHeight="1">
      <c r="B15" s="19"/>
      <c r="C15" s="19"/>
      <c r="D15" s="19"/>
      <c r="E15" s="19"/>
      <c r="F15" s="20"/>
      <c r="G15" s="20"/>
      <c r="H15" s="20"/>
      <c r="I15" s="20"/>
      <c r="J15" s="21"/>
    </row>
    <row r="16" spans="2:10" ht="39.950000000000003" customHeight="1">
      <c r="B16" s="16"/>
      <c r="C16" s="16"/>
      <c r="D16" s="16"/>
      <c r="E16" s="16"/>
      <c r="F16" s="17"/>
      <c r="G16" s="17"/>
      <c r="H16" s="17"/>
      <c r="I16" s="17"/>
      <c r="J16" s="18"/>
    </row>
    <row r="17" spans="2:10" ht="39.950000000000003" customHeight="1">
      <c r="B17" s="19"/>
      <c r="C17" s="19"/>
      <c r="D17" s="19"/>
      <c r="E17" s="19"/>
      <c r="F17" s="20"/>
      <c r="G17" s="20"/>
      <c r="H17" s="20"/>
      <c r="I17" s="20"/>
      <c r="J17" s="21"/>
    </row>
    <row r="18" spans="2:10" ht="39.950000000000003" customHeight="1">
      <c r="B18" s="16"/>
      <c r="C18" s="16"/>
      <c r="D18" s="16"/>
      <c r="E18" s="16"/>
      <c r="F18" s="17"/>
      <c r="G18" s="17"/>
      <c r="H18" s="17"/>
      <c r="I18" s="17"/>
      <c r="J18" s="18"/>
    </row>
    <row r="19" spans="2:10" ht="39.950000000000003" customHeight="1">
      <c r="B19" s="19"/>
      <c r="C19" s="19"/>
      <c r="D19" s="19"/>
      <c r="E19" s="19"/>
      <c r="F19" s="20"/>
      <c r="G19" s="20"/>
      <c r="H19" s="20"/>
      <c r="I19" s="20"/>
      <c r="J19" s="21"/>
    </row>
    <row r="20" spans="2:10" ht="39.75" customHeight="1">
      <c r="B20" s="16"/>
      <c r="C20" s="16"/>
      <c r="D20" s="16"/>
      <c r="E20" s="16"/>
      <c r="F20" s="17"/>
      <c r="G20" s="17"/>
      <c r="H20" s="17"/>
      <c r="I20" s="17"/>
      <c r="J20" s="18"/>
    </row>
    <row r="21" spans="2:10" ht="39.75" customHeight="1">
      <c r="B21" s="19"/>
      <c r="C21" s="19"/>
      <c r="D21" s="19"/>
      <c r="E21" s="19"/>
      <c r="F21" s="20"/>
      <c r="G21" s="20"/>
      <c r="H21" s="20"/>
      <c r="I21" s="20"/>
      <c r="J21" s="21"/>
    </row>
    <row r="22" spans="2:10" ht="39.75" customHeight="1">
      <c r="B22" s="16"/>
      <c r="C22" s="16"/>
      <c r="D22" s="16"/>
      <c r="E22" s="16"/>
      <c r="F22" s="17"/>
      <c r="G22" s="17"/>
      <c r="H22" s="17"/>
      <c r="I22" s="17"/>
      <c r="J22" s="18"/>
    </row>
    <row r="23" spans="2:10" ht="39.75" customHeight="1">
      <c r="B23" s="19"/>
      <c r="C23" s="19"/>
      <c r="D23" s="19"/>
      <c r="E23" s="19"/>
      <c r="F23" s="20"/>
      <c r="G23" s="20"/>
      <c r="H23" s="20"/>
      <c r="I23" s="20"/>
      <c r="J23" s="21"/>
    </row>
    <row r="24" spans="2:10" ht="39.75" customHeight="1">
      <c r="B24" s="16"/>
      <c r="C24" s="16"/>
      <c r="D24" s="16"/>
      <c r="E24" s="16"/>
      <c r="F24" s="17"/>
      <c r="G24" s="17"/>
      <c r="H24" s="17"/>
      <c r="I24" s="17"/>
      <c r="J24" s="18"/>
    </row>
    <row r="25" spans="2:10" ht="39.75" customHeight="1">
      <c r="B25" s="19"/>
      <c r="C25" s="19"/>
      <c r="D25" s="19"/>
      <c r="E25" s="19"/>
      <c r="F25" s="20"/>
      <c r="G25" s="20"/>
      <c r="H25" s="20"/>
      <c r="I25" s="20"/>
      <c r="J25" s="21"/>
    </row>
    <row r="26" spans="2:10" ht="39.75" customHeight="1">
      <c r="B26" s="16"/>
      <c r="C26" s="16"/>
      <c r="D26" s="16"/>
      <c r="E26" s="16"/>
      <c r="F26" s="17"/>
      <c r="G26" s="17"/>
      <c r="H26" s="17"/>
      <c r="I26" s="17"/>
      <c r="J26" s="18"/>
    </row>
    <row r="27" spans="2:10" ht="39.75" customHeight="1">
      <c r="B27" s="19"/>
      <c r="C27" s="19"/>
      <c r="D27" s="19"/>
      <c r="E27" s="19"/>
      <c r="F27" s="20"/>
      <c r="G27" s="20"/>
      <c r="H27" s="20"/>
      <c r="I27" s="20"/>
      <c r="J27" s="21"/>
    </row>
    <row r="28" spans="2:10" ht="39.75" customHeight="1">
      <c r="B28" s="16"/>
      <c r="C28" s="16"/>
      <c r="D28" s="16"/>
      <c r="E28" s="16"/>
      <c r="F28" s="17"/>
      <c r="G28" s="17"/>
      <c r="H28" s="17"/>
      <c r="I28" s="17"/>
      <c r="J28" s="18"/>
    </row>
    <row r="29" spans="2:10" ht="39.75" customHeight="1">
      <c r="B29" s="19"/>
      <c r="C29" s="19"/>
      <c r="D29" s="19"/>
      <c r="E29" s="19"/>
      <c r="F29" s="20"/>
      <c r="G29" s="20"/>
      <c r="H29" s="20"/>
      <c r="I29" s="20"/>
      <c r="J29" s="21"/>
    </row>
    <row r="30" spans="2:10" ht="39.75" customHeight="1">
      <c r="B30" s="16"/>
      <c r="C30" s="16"/>
      <c r="D30" s="16"/>
      <c r="E30" s="16"/>
      <c r="F30" s="17"/>
      <c r="G30" s="17"/>
      <c r="H30" s="17"/>
      <c r="I30" s="17"/>
      <c r="J30" s="18"/>
    </row>
    <row r="31" spans="2:10" ht="39.75" customHeight="1">
      <c r="B31" s="19"/>
      <c r="C31" s="19"/>
      <c r="D31" s="19"/>
      <c r="E31" s="19"/>
      <c r="F31" s="20"/>
      <c r="G31" s="20"/>
      <c r="H31" s="20"/>
      <c r="I31" s="20"/>
      <c r="J31" s="21"/>
    </row>
    <row r="32" spans="2:10" ht="39.75" customHeight="1">
      <c r="B32" s="16"/>
      <c r="C32" s="16"/>
      <c r="D32" s="16"/>
      <c r="E32" s="16"/>
      <c r="F32" s="17"/>
      <c r="G32" s="17"/>
      <c r="H32" s="17"/>
      <c r="I32" s="17"/>
      <c r="J32" s="18"/>
    </row>
    <row r="33" spans="2:10" ht="39.75" customHeight="1">
      <c r="B33" s="19"/>
      <c r="C33" s="19"/>
      <c r="D33" s="19"/>
      <c r="E33" s="19"/>
      <c r="F33" s="20"/>
      <c r="G33" s="20"/>
      <c r="H33" s="20"/>
      <c r="I33" s="20"/>
      <c r="J33" s="21"/>
    </row>
    <row r="34" spans="2:10" ht="39.75" customHeight="1">
      <c r="B34" s="16"/>
      <c r="C34" s="16"/>
      <c r="D34" s="16"/>
      <c r="E34" s="16"/>
      <c r="F34" s="17"/>
      <c r="G34" s="17"/>
      <c r="H34" s="17"/>
      <c r="I34" s="17"/>
      <c r="J34" s="18"/>
    </row>
    <row r="35" spans="2:10" ht="39.75" customHeight="1">
      <c r="B35" s="19"/>
      <c r="C35" s="19"/>
      <c r="D35" s="19"/>
      <c r="E35" s="19"/>
      <c r="F35" s="20"/>
      <c r="G35" s="20"/>
      <c r="H35" s="20"/>
      <c r="I35" s="20"/>
      <c r="J35" s="21"/>
    </row>
    <row r="36" spans="2:10" ht="39.75" customHeight="1">
      <c r="B36" s="16"/>
      <c r="C36" s="16"/>
      <c r="D36" s="16"/>
      <c r="E36" s="16"/>
      <c r="F36" s="17"/>
      <c r="G36" s="17"/>
      <c r="H36" s="17"/>
      <c r="I36" s="17"/>
      <c r="J36" s="18"/>
    </row>
    <row r="37" spans="2:10" ht="39.75" customHeight="1">
      <c r="B37" s="19"/>
      <c r="C37" s="19"/>
      <c r="D37" s="19"/>
      <c r="E37" s="19"/>
      <c r="F37" s="20"/>
      <c r="G37" s="20"/>
      <c r="H37" s="20"/>
      <c r="I37" s="20"/>
      <c r="J37" s="21"/>
    </row>
    <row r="38" spans="2:10" ht="39.75" customHeight="1">
      <c r="B38" s="16"/>
      <c r="C38" s="16"/>
      <c r="D38" s="16"/>
      <c r="E38" s="16"/>
      <c r="F38" s="17"/>
      <c r="G38" s="17"/>
      <c r="H38" s="17"/>
      <c r="I38" s="17"/>
      <c r="J38" s="18"/>
    </row>
    <row r="39" spans="2:10">
      <c r="B39" s="12"/>
      <c r="C39" s="12"/>
      <c r="D39" s="12"/>
      <c r="E39" s="12"/>
      <c r="F39" s="14"/>
      <c r="G39" s="14"/>
      <c r="H39" s="14"/>
      <c r="I39" s="14"/>
      <c r="J39" s="13"/>
    </row>
    <row r="40" spans="2:10">
      <c r="B40" s="12"/>
      <c r="C40" s="12"/>
      <c r="D40" s="12"/>
      <c r="E40" s="12"/>
      <c r="F40" s="14"/>
      <c r="G40" s="14"/>
      <c r="H40" s="14"/>
      <c r="I40" s="14"/>
      <c r="J40" s="13"/>
    </row>
    <row r="41" spans="2:10">
      <c r="B41" s="12"/>
      <c r="C41" s="12"/>
      <c r="D41" s="12"/>
      <c r="E41" s="12"/>
      <c r="F41" s="14"/>
      <c r="G41" s="14"/>
      <c r="H41" s="14"/>
      <c r="I41" s="14"/>
      <c r="J41" s="13"/>
    </row>
    <row r="42" spans="2:10">
      <c r="B42" s="12"/>
      <c r="C42" s="12"/>
      <c r="D42" s="12"/>
      <c r="E42" s="12"/>
      <c r="F42" s="14"/>
      <c r="G42" s="14"/>
      <c r="H42" s="14"/>
      <c r="I42" s="14"/>
      <c r="J42" s="13"/>
    </row>
    <row r="43" spans="2:10">
      <c r="B43" s="12"/>
      <c r="C43" s="12"/>
      <c r="D43" s="12"/>
      <c r="E43" s="12"/>
      <c r="F43" s="14"/>
      <c r="G43" s="14"/>
      <c r="H43" s="14"/>
      <c r="I43" s="14"/>
      <c r="J43" s="13"/>
    </row>
    <row r="44" spans="2:10">
      <c r="B44" s="12"/>
      <c r="C44" s="12"/>
      <c r="D44" s="12"/>
      <c r="E44" s="12"/>
      <c r="F44" s="14"/>
      <c r="G44" s="14"/>
      <c r="H44" s="14"/>
      <c r="I44" s="14"/>
      <c r="J44" s="13"/>
    </row>
    <row r="45" spans="2:10">
      <c r="B45" s="12"/>
      <c r="C45" s="12"/>
      <c r="D45" s="12"/>
      <c r="E45" s="12"/>
      <c r="F45" s="14"/>
      <c r="G45" s="14"/>
      <c r="H45" s="14"/>
      <c r="I45" s="14"/>
      <c r="J45" s="13"/>
    </row>
    <row r="46" spans="2:10">
      <c r="B46" s="12"/>
      <c r="C46" s="12"/>
      <c r="D46" s="12"/>
      <c r="E46" s="12"/>
      <c r="F46" s="14"/>
      <c r="G46" s="14"/>
      <c r="H46" s="14"/>
      <c r="I46" s="14"/>
      <c r="J46" s="13"/>
    </row>
    <row r="47" spans="2:10">
      <c r="B47" s="12"/>
      <c r="C47" s="12"/>
      <c r="D47" s="12"/>
      <c r="E47" s="12"/>
      <c r="F47" s="14"/>
      <c r="G47" s="14"/>
      <c r="H47" s="14"/>
      <c r="I47" s="14"/>
      <c r="J47" s="13"/>
    </row>
    <row r="48" spans="2:10">
      <c r="B48" s="12"/>
      <c r="C48" s="12"/>
      <c r="D48" s="12"/>
      <c r="E48" s="12"/>
      <c r="F48" s="14"/>
      <c r="G48" s="14"/>
      <c r="H48" s="14"/>
      <c r="I48" s="14"/>
      <c r="J48" s="13"/>
    </row>
    <row r="49" spans="2:10">
      <c r="B49" s="12" t="str">
        <f t="array" ref="B49">IFERROR(INDEX(資料,SMALL(IF((員工編號=$D$3)*(識別證卡號=#REF!),序號,FALSE),ROW(40:40)),2),"")</f>
        <v/>
      </c>
      <c r="C49" s="12" t="str">
        <f t="array" ref="C49">IFERROR(INDEX(資料,SMALL(IF((員工編號=$D$3)*(識別證卡號=#REF!),序號,FALSE),ROW(40:40)),3),"")</f>
        <v/>
      </c>
      <c r="D49" s="12" t="str">
        <f t="array" ref="D49">IFERROR(INDEX(資料,SMALL(IF((員工編號=$D$3)*(識別證卡號=#REF!),序號,FALSE),ROW(40:40)),4),"")</f>
        <v/>
      </c>
      <c r="E49" s="12"/>
      <c r="F49" s="14" t="str">
        <f t="array" ref="F49">IFERROR(INDEX(資料,SMALL(IF((員工編號=$D$3)*(識別證卡號=#REF!),序號,FALSE),ROW(40:40)),7),"")</f>
        <v/>
      </c>
      <c r="G49" s="14"/>
      <c r="H49" s="14"/>
      <c r="I49" s="14"/>
      <c r="J49" s="13" t="str">
        <f t="array" ref="J49">IFERROR(INDEX(資料,SMALL(IF((員工編號=$D$3)*(識別證卡號=#REF!),序號,FALSE),ROW(40:40)),8),"")</f>
        <v/>
      </c>
    </row>
    <row r="50" spans="2:10">
      <c r="B50" s="12" t="str">
        <f t="array" ref="B50">IFERROR(INDEX(資料,SMALL(IF((員工編號=$D$3)*(識別證卡號=#REF!),序號,FALSE),ROW(41:41)),2),"")</f>
        <v/>
      </c>
      <c r="C50" s="12" t="str">
        <f t="array" ref="C50">IFERROR(INDEX(資料,SMALL(IF((員工編號=$D$3)*(識別證卡號=#REF!),序號,FALSE),ROW(41:41)),3),"")</f>
        <v/>
      </c>
      <c r="D50" s="12" t="str">
        <f t="array" ref="D50">IFERROR(INDEX(資料,SMALL(IF((員工編號=$D$3)*(識別證卡號=#REF!),序號,FALSE),ROW(41:41)),4),"")</f>
        <v/>
      </c>
      <c r="E50" s="12"/>
      <c r="F50" s="14" t="str">
        <f t="array" ref="F50">IFERROR(INDEX(資料,SMALL(IF((員工編號=$D$3)*(識別證卡號=#REF!),序號,FALSE),ROW(41:41)),7),"")</f>
        <v/>
      </c>
      <c r="G50" s="14"/>
      <c r="H50" s="14"/>
      <c r="I50" s="14"/>
      <c r="J50" s="13" t="str">
        <f t="array" ref="J50">IFERROR(INDEX(資料,SMALL(IF((員工編號=$D$3)*(識別證卡號=#REF!),序號,FALSE),ROW(41:41)),8),"")</f>
        <v/>
      </c>
    </row>
    <row r="51" spans="2:10">
      <c r="B51" s="12" t="str">
        <f t="array" ref="B51">IFERROR(INDEX(資料,SMALL(IF((員工編號=$D$3)*(識別證卡號=#REF!),序號,FALSE),ROW(42:42)),2),"")</f>
        <v/>
      </c>
      <c r="C51" s="12" t="str">
        <f t="array" ref="C51">IFERROR(INDEX(資料,SMALL(IF((員工編號=$D$3)*(識別證卡號=#REF!),序號,FALSE),ROW(42:42)),3),"")</f>
        <v/>
      </c>
      <c r="D51" s="12" t="str">
        <f t="array" ref="D51">IFERROR(INDEX(資料,SMALL(IF((員工編號=$D$3)*(識別證卡號=#REF!),序號,FALSE),ROW(42:42)),4),"")</f>
        <v/>
      </c>
      <c r="E51" s="12"/>
      <c r="F51" s="14" t="str">
        <f t="array" ref="F51">IFERROR(INDEX(資料,SMALL(IF((員工編號=$D$3)*(識別證卡號=#REF!),序號,FALSE),ROW(42:42)),7),"")</f>
        <v/>
      </c>
      <c r="G51" s="14"/>
      <c r="H51" s="14"/>
      <c r="I51" s="14"/>
      <c r="J51" s="13" t="str">
        <f t="array" ref="J51">IFERROR(INDEX(資料,SMALL(IF((員工編號=$D$3)*(識別證卡號=#REF!),序號,FALSE),ROW(42:42)),8),"")</f>
        <v/>
      </c>
    </row>
    <row r="52" spans="2:10">
      <c r="B52" s="12" t="str">
        <f t="array" ref="B52">IFERROR(INDEX(資料,SMALL(IF((員工編號=$D$3)*(識別證卡號=#REF!),序號,FALSE),ROW(43:43)),2),"")</f>
        <v/>
      </c>
      <c r="C52" s="12" t="str">
        <f t="array" ref="C52">IFERROR(INDEX(資料,SMALL(IF((員工編號=$D$3)*(識別證卡號=#REF!),序號,FALSE),ROW(43:43)),3),"")</f>
        <v/>
      </c>
      <c r="D52" s="12" t="str">
        <f t="array" ref="D52">IFERROR(INDEX(資料,SMALL(IF((員工編號=$D$3)*(識別證卡號=#REF!),序號,FALSE),ROW(43:43)),4),"")</f>
        <v/>
      </c>
      <c r="E52" s="12"/>
      <c r="F52" s="14" t="str">
        <f t="array" ref="F52">IFERROR(INDEX(資料,SMALL(IF((員工編號=$D$3)*(識別證卡號=#REF!),序號,FALSE),ROW(43:43)),7),"")</f>
        <v/>
      </c>
      <c r="G52" s="14"/>
      <c r="H52" s="14"/>
      <c r="I52" s="14"/>
      <c r="J52" s="13" t="str">
        <f t="array" ref="J52">IFERROR(INDEX(資料,SMALL(IF((員工編號=$D$3)*(識別證卡號=#REF!),序號,FALSE),ROW(43:43)),8),"")</f>
        <v/>
      </c>
    </row>
    <row r="53" spans="2:10">
      <c r="B53" s="12" t="str">
        <f t="array" ref="B53">IFERROR(INDEX(資料,SMALL(IF((員工編號=$D$3)*(識別證卡號=#REF!),序號,FALSE),ROW(44:44)),2),"")</f>
        <v/>
      </c>
      <c r="C53" s="12" t="str">
        <f t="array" ref="C53">IFERROR(INDEX(資料,SMALL(IF((員工編號=$D$3)*(識別證卡號=#REF!),序號,FALSE),ROW(44:44)),3),"")</f>
        <v/>
      </c>
      <c r="D53" s="12" t="str">
        <f t="array" ref="D53">IFERROR(INDEX(資料,SMALL(IF((員工編號=$D$3)*(識別證卡號=#REF!),序號,FALSE),ROW(44:44)),4),"")</f>
        <v/>
      </c>
      <c r="E53" s="12"/>
      <c r="F53" s="14" t="str">
        <f t="array" ref="F53">IFERROR(INDEX(資料,SMALL(IF((員工編號=$D$3)*(識別證卡號=#REF!),序號,FALSE),ROW(44:44)),7),"")</f>
        <v/>
      </c>
      <c r="G53" s="14"/>
      <c r="H53" s="14"/>
      <c r="I53" s="14"/>
      <c r="J53" s="13" t="str">
        <f t="array" ref="J53">IFERROR(INDEX(資料,SMALL(IF((員工編號=$D$3)*(識別證卡號=#REF!),序號,FALSE),ROW(44:44)),8),"")</f>
        <v/>
      </c>
    </row>
    <row r="54" spans="2:10">
      <c r="B54" s="12" t="str">
        <f t="array" ref="B54">IFERROR(INDEX(資料,SMALL(IF((員工編號=$D$3)*(識別證卡號=#REF!),序號,FALSE),ROW(45:45)),2),"")</f>
        <v/>
      </c>
      <c r="C54" s="12" t="str">
        <f t="array" ref="C54">IFERROR(INDEX(資料,SMALL(IF((員工編號=$D$3)*(識別證卡號=#REF!),序號,FALSE),ROW(45:45)),3),"")</f>
        <v/>
      </c>
      <c r="D54" s="12" t="str">
        <f t="array" ref="D54">IFERROR(INDEX(資料,SMALL(IF((員工編號=$D$3)*(識別證卡號=#REF!),序號,FALSE),ROW(45:45)),4),"")</f>
        <v/>
      </c>
      <c r="E54" s="12"/>
      <c r="F54" s="14" t="str">
        <f t="array" ref="F54">IFERROR(INDEX(資料,SMALL(IF((員工編號=$D$3)*(識別證卡號=#REF!),序號,FALSE),ROW(45:45)),7),"")</f>
        <v/>
      </c>
      <c r="G54" s="14"/>
      <c r="H54" s="14"/>
      <c r="I54" s="14"/>
      <c r="J54" s="13" t="str">
        <f t="array" ref="J54">IFERROR(INDEX(資料,SMALL(IF((員工編號=$D$3)*(識別證卡號=#REF!),序號,FALSE),ROW(45:45)),8),"")</f>
        <v/>
      </c>
    </row>
  </sheetData>
  <mergeCells count="2">
    <mergeCell ref="B5:C5"/>
    <mergeCell ref="B1:J1"/>
  </mergeCells>
  <phoneticPr fontId="3" type="noConversion"/>
  <pageMargins left="0.27559055118110237" right="0.23622047244094491" top="0.23622047244094491" bottom="0.47244094488188981" header="0.19685039370078741" footer="0.23622047244094491"/>
  <pageSetup paperSize="9" scale="75" orientation="landscape" horizontalDpi="1200" verticalDpi="1200" r:id="rId1"/>
  <headerFooter>
    <oddFooter>&amp;L&amp;10&amp;P / &amp;N&amp;R&amp;10&amp;D ,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12</vt:i4>
      </vt:variant>
    </vt:vector>
  </HeadingPairs>
  <TitlesOfParts>
    <vt:vector size="14" baseType="lpstr">
      <vt:lpstr>資料頁</vt:lpstr>
      <vt:lpstr>  查詢  </vt:lpstr>
      <vt:lpstr>資料頁!全健康保險費</vt:lpstr>
      <vt:lpstr>資料頁!序號</vt:lpstr>
      <vt:lpstr>投保薪額</vt:lpstr>
      <vt:lpstr>資料頁!姓名</vt:lpstr>
      <vt:lpstr>資料頁!保險年月</vt:lpstr>
      <vt:lpstr>資料頁!異動</vt:lpstr>
      <vt:lpstr>資料頁!備註</vt:lpstr>
      <vt:lpstr>資料頁!勞工保險費</vt:lpstr>
      <vt:lpstr>資料頁!勞工退休金提繳</vt:lpstr>
      <vt:lpstr>資料頁!單位</vt:lpstr>
      <vt:lpstr>資料頁!業務承辦人</vt:lpstr>
      <vt:lpstr>資料頁!資料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林家玄s386(分機#2192)</cp:lastModifiedBy>
  <cp:lastPrinted>2026-03-02T09:08:12Z</cp:lastPrinted>
  <dcterms:created xsi:type="dcterms:W3CDTF">2014-07-10T09:28:05Z</dcterms:created>
  <dcterms:modified xsi:type="dcterms:W3CDTF">2026-09-11T08:26:43Z</dcterms:modified>
</cp:coreProperties>
</file>